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1EF07E601376773F/Documentos/"/>
    </mc:Choice>
  </mc:AlternateContent>
  <xr:revisionPtr revIDLastSave="3083" documentId="8_{68C1115E-4A66-48FE-BEB2-B7E669A40B04}" xr6:coauthVersionLast="47" xr6:coauthVersionMax="47" xr10:uidLastSave="{C9B8570B-D7E0-47A8-B3DA-E58698AD7C78}"/>
  <bookViews>
    <workbookView xWindow="-120" yWindow="-120" windowWidth="20730" windowHeight="11040" activeTab="3" xr2:uid="{00000000-000D-0000-FFFF-FFFF00000000}"/>
  </bookViews>
  <sheets>
    <sheet name="COMBUSTÃO" sheetId="8" r:id="rId1"/>
    <sheet name="Dados" sheetId="2" r:id="rId2"/>
    <sheet name="Dados_Dashboard" sheetId="9" r:id="rId3"/>
    <sheet name="Dashboard" sheetId="10" r:id="rId4"/>
  </sheets>
  <definedNames>
    <definedName name="_xleta.ABS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8" l="1"/>
  <c r="G10" i="8"/>
  <c r="G8" i="8"/>
  <c r="B26" i="8"/>
  <c r="D8" i="8"/>
  <c r="H7" i="8"/>
  <c r="C8" i="8"/>
  <c r="G23" i="8"/>
  <c r="G14" i="8"/>
  <c r="G9" i="8"/>
  <c r="C9" i="8"/>
  <c r="C7" i="8"/>
  <c r="B15" i="8" s="1"/>
  <c r="M14" i="8" l="1"/>
  <c r="G21" i="8" s="1"/>
  <c r="M15" i="8"/>
  <c r="G22" i="8" s="1"/>
  <c r="B26" i="9"/>
  <c r="J10" i="8"/>
  <c r="M12" i="8"/>
  <c r="M13" i="8"/>
  <c r="M11" i="8"/>
  <c r="G18" i="8" s="1"/>
  <c r="K18" i="8"/>
  <c r="K12" i="8"/>
  <c r="D14" i="8"/>
  <c r="L14" i="8" s="1"/>
  <c r="F21" i="9" s="1"/>
  <c r="D12" i="8"/>
  <c r="D10" i="8"/>
  <c r="C13" i="8"/>
  <c r="C12" i="8"/>
  <c r="C11" i="8"/>
  <c r="C10" i="8"/>
  <c r="F25" i="9" l="1"/>
  <c r="L10" i="8"/>
  <c r="F17" i="9" s="1"/>
  <c r="M10" i="8"/>
  <c r="B16" i="8" s="1"/>
  <c r="K10" i="8"/>
  <c r="C14" i="8"/>
  <c r="G11" i="8"/>
  <c r="G7" i="8" s="1"/>
  <c r="B22" i="9" s="1"/>
  <c r="L15" i="8"/>
  <c r="F22" i="9" s="1"/>
  <c r="L13" i="8"/>
  <c r="G20" i="8"/>
  <c r="G19" i="8"/>
  <c r="N25" i="8" l="1"/>
  <c r="B21" i="9"/>
  <c r="F20" i="9"/>
  <c r="K4" i="9"/>
  <c r="G12" i="8"/>
  <c r="J11" i="8"/>
  <c r="J24" i="8"/>
  <c r="G22" i="9"/>
  <c r="J27" i="8"/>
  <c r="G17" i="9"/>
  <c r="K17" i="9"/>
  <c r="K18" i="9"/>
  <c r="K19" i="9"/>
  <c r="K5" i="9"/>
  <c r="K6" i="9"/>
  <c r="K7" i="9"/>
  <c r="K8" i="9"/>
  <c r="K9" i="9"/>
  <c r="K10" i="9"/>
  <c r="K11" i="9"/>
  <c r="K13" i="9"/>
  <c r="K14" i="9"/>
  <c r="K15" i="9"/>
  <c r="K16" i="9"/>
  <c r="K12" i="9"/>
  <c r="J12" i="8" l="1"/>
  <c r="F27" i="9" s="1"/>
  <c r="B23" i="9"/>
  <c r="L11" i="8"/>
  <c r="J25" i="8" s="1"/>
  <c r="F26" i="9"/>
  <c r="G21" i="9"/>
  <c r="G20" i="9"/>
  <c r="F18" i="9" l="1"/>
  <c r="G5" i="10"/>
  <c r="L12" i="8"/>
  <c r="N27" i="8" l="1"/>
  <c r="N21" i="8" s="1"/>
  <c r="B25" i="8" s="1"/>
  <c r="B20" i="9" s="1"/>
  <c r="F19" i="9"/>
  <c r="G19" i="9" s="1"/>
  <c r="J21" i="8"/>
  <c r="B27" i="9" s="1"/>
  <c r="N23" i="8"/>
  <c r="B31" i="9" s="1"/>
  <c r="G5" i="9" s="1"/>
  <c r="K5" i="10"/>
  <c r="J26" i="8"/>
  <c r="J28" i="8" s="1"/>
  <c r="B33" i="9" s="1"/>
  <c r="B30" i="9" l="1"/>
  <c r="B19" i="9"/>
  <c r="M5" i="10" s="1"/>
  <c r="G18" i="9"/>
  <c r="G8" i="9" l="1"/>
  <c r="G10" i="9"/>
  <c r="G9" i="9"/>
  <c r="G6" i="9"/>
  <c r="G7" i="9"/>
  <c r="Q5" i="10" l="1"/>
</calcChain>
</file>

<file path=xl/sharedStrings.xml><?xml version="1.0" encoding="utf-8"?>
<sst xmlns="http://schemas.openxmlformats.org/spreadsheetml/2006/main" count="193" uniqueCount="119">
  <si>
    <t>ENTRADA DO PROCESSO</t>
  </si>
  <si>
    <t>combustível</t>
  </si>
  <si>
    <t>n (C)</t>
  </si>
  <si>
    <t>Ar</t>
  </si>
  <si>
    <r>
      <t>21% O</t>
    </r>
    <r>
      <rPr>
        <vertAlign val="subscript"/>
        <sz val="11"/>
        <color theme="1"/>
        <rFont val="Arial"/>
        <family val="2"/>
        <scheme val="minor"/>
      </rPr>
      <t>2</t>
    </r>
    <r>
      <rPr>
        <sz val="11"/>
        <color theme="1"/>
        <rFont val="Arial"/>
        <family val="2"/>
        <scheme val="minor"/>
      </rPr>
      <t xml:space="preserve"> e 79% N</t>
    </r>
    <r>
      <rPr>
        <vertAlign val="subscript"/>
        <sz val="11"/>
        <color theme="1"/>
        <rFont val="Arial"/>
        <family val="2"/>
        <scheme val="minor"/>
      </rPr>
      <t>2</t>
    </r>
  </si>
  <si>
    <t>Alimentação (mol/s)</t>
  </si>
  <si>
    <t>% em excesso</t>
  </si>
  <si>
    <t>SUBSTÂNCIA</t>
  </si>
  <si>
    <t>ENTRADA</t>
  </si>
  <si>
    <t>SAÍDA</t>
  </si>
  <si>
    <t>Temperatura de entrada (°C)</t>
  </si>
  <si>
    <r>
      <t>n</t>
    </r>
    <r>
      <rPr>
        <b/>
        <vertAlign val="subscript"/>
        <sz val="11"/>
        <color theme="1"/>
        <rFont val="Arial"/>
        <family val="2"/>
        <scheme val="minor"/>
      </rPr>
      <t>i</t>
    </r>
    <r>
      <rPr>
        <b/>
        <sz val="11"/>
        <color theme="1"/>
        <rFont val="Arial"/>
        <family val="2"/>
        <scheme val="minor"/>
      </rPr>
      <t xml:space="preserve"> (mol)</t>
    </r>
  </si>
  <si>
    <r>
      <t>H</t>
    </r>
    <r>
      <rPr>
        <b/>
        <vertAlign val="subscript"/>
        <sz val="11"/>
        <color theme="1"/>
        <rFont val="Arial"/>
        <family val="2"/>
        <scheme val="minor"/>
      </rPr>
      <t>i</t>
    </r>
    <r>
      <rPr>
        <b/>
        <sz val="11"/>
        <color theme="1"/>
        <rFont val="Arial"/>
        <family val="2"/>
        <scheme val="minor"/>
      </rPr>
      <t xml:space="preserve"> (kJ/mol)</t>
    </r>
  </si>
  <si>
    <r>
      <t>n</t>
    </r>
    <r>
      <rPr>
        <b/>
        <vertAlign val="subscript"/>
        <sz val="11"/>
        <color theme="1"/>
        <rFont val="Arial"/>
        <family val="2"/>
        <scheme val="minor"/>
      </rPr>
      <t>j</t>
    </r>
    <r>
      <rPr>
        <b/>
        <sz val="11"/>
        <color theme="1"/>
        <rFont val="Arial"/>
        <family val="2"/>
        <scheme val="minor"/>
      </rPr>
      <t xml:space="preserve"> (mol)</t>
    </r>
  </si>
  <si>
    <r>
      <t>H</t>
    </r>
    <r>
      <rPr>
        <b/>
        <vertAlign val="subscript"/>
        <sz val="11"/>
        <color theme="1"/>
        <rFont val="Arial"/>
        <family val="2"/>
        <scheme val="minor"/>
      </rPr>
      <t>j</t>
    </r>
    <r>
      <rPr>
        <b/>
        <sz val="11"/>
        <color theme="1"/>
        <rFont val="Arial"/>
        <family val="2"/>
        <scheme val="minor"/>
      </rPr>
      <t xml:space="preserve"> (kJ/mol)</t>
    </r>
  </si>
  <si>
    <t>constantes da capacidade calorífica (kJ/mol.°C)</t>
  </si>
  <si>
    <r>
      <rPr>
        <i/>
        <sz val="11"/>
        <color theme="1"/>
        <rFont val="Arial"/>
        <family val="2"/>
        <scheme val="minor"/>
      </rPr>
      <t>a</t>
    </r>
    <r>
      <rPr>
        <sz val="11"/>
        <color theme="1"/>
        <rFont val="Calibri"/>
        <family val="2"/>
      </rPr>
      <t/>
    </r>
  </si>
  <si>
    <r>
      <t>C</t>
    </r>
    <r>
      <rPr>
        <b/>
        <vertAlign val="subscript"/>
        <sz val="11"/>
        <color theme="1"/>
        <rFont val="Arial"/>
        <family val="2"/>
        <scheme val="minor"/>
      </rPr>
      <t>n</t>
    </r>
    <r>
      <rPr>
        <b/>
        <sz val="11"/>
        <color theme="1"/>
        <rFont val="Arial"/>
        <family val="2"/>
        <scheme val="minor"/>
      </rPr>
      <t>H</t>
    </r>
    <r>
      <rPr>
        <b/>
        <vertAlign val="subscript"/>
        <sz val="11"/>
        <color theme="1"/>
        <rFont val="Arial"/>
        <family val="2"/>
        <scheme val="minor"/>
      </rPr>
      <t>2n+2</t>
    </r>
  </si>
  <si>
    <t>---</t>
  </si>
  <si>
    <r>
      <rPr>
        <i/>
        <sz val="11"/>
        <color theme="1"/>
        <rFont val="Arial"/>
        <family val="2"/>
        <scheme val="minor"/>
      </rPr>
      <t>b</t>
    </r>
    <r>
      <rPr>
        <sz val="11"/>
        <color theme="1"/>
        <rFont val="Calibri"/>
        <family val="2"/>
      </rPr>
      <t/>
    </r>
  </si>
  <si>
    <t>SAÍDA DO PROCESSO (GÁS DE CHAMINÉ - GC)</t>
  </si>
  <si>
    <r>
      <t>O</t>
    </r>
    <r>
      <rPr>
        <b/>
        <vertAlign val="subscript"/>
        <sz val="11"/>
        <color theme="1"/>
        <rFont val="Arial"/>
        <family val="2"/>
        <scheme val="minor"/>
      </rPr>
      <t>2</t>
    </r>
  </si>
  <si>
    <r>
      <rPr>
        <i/>
        <sz val="11"/>
        <color theme="1"/>
        <rFont val="Arial"/>
        <family val="2"/>
        <scheme val="minor"/>
      </rPr>
      <t>c</t>
    </r>
    <r>
      <rPr>
        <sz val="11"/>
        <color theme="1"/>
        <rFont val="Calibri"/>
        <family val="2"/>
      </rPr>
      <t/>
    </r>
  </si>
  <si>
    <t>temperatura do GC (°C)</t>
  </si>
  <si>
    <r>
      <t>N</t>
    </r>
    <r>
      <rPr>
        <b/>
        <vertAlign val="subscript"/>
        <sz val="11"/>
        <color theme="1"/>
        <rFont val="Arial"/>
        <family val="2"/>
        <scheme val="minor"/>
      </rPr>
      <t>2</t>
    </r>
  </si>
  <si>
    <r>
      <rPr>
        <i/>
        <sz val="11"/>
        <color theme="1"/>
        <rFont val="Arial"/>
        <family val="2"/>
        <scheme val="minor"/>
      </rPr>
      <t>d</t>
    </r>
    <r>
      <rPr>
        <sz val="11"/>
        <color theme="1"/>
        <rFont val="Calibri"/>
        <family val="2"/>
      </rPr>
      <t/>
    </r>
  </si>
  <si>
    <t>calor de reação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</si>
  <si>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Arial"/>
        <family val="2"/>
        <scheme val="minor"/>
      </rPr>
      <t>H</t>
    </r>
    <r>
      <rPr>
        <vertAlign val="subscript"/>
        <sz val="11"/>
        <color theme="1"/>
        <rFont val="Arial"/>
        <family val="2"/>
        <scheme val="minor"/>
      </rPr>
      <t>R</t>
    </r>
    <r>
      <rPr>
        <sz val="11"/>
        <color theme="1"/>
        <rFont val="Arial"/>
        <family val="2"/>
        <scheme val="minor"/>
      </rPr>
      <t xml:space="preserve"> (kJ/mol)</t>
    </r>
  </si>
  <si>
    <r>
      <t>H</t>
    </r>
    <r>
      <rPr>
        <b/>
        <vertAlign val="subscript"/>
        <sz val="11"/>
        <color theme="1"/>
        <rFont val="Arial"/>
        <family val="2"/>
        <scheme val="minor"/>
      </rPr>
      <t>2</t>
    </r>
    <r>
      <rPr>
        <b/>
        <sz val="11"/>
        <color theme="1"/>
        <rFont val="Arial"/>
        <family val="2"/>
        <scheme val="minor"/>
      </rPr>
      <t>O</t>
    </r>
  </si>
  <si>
    <r>
      <rPr>
        <sz val="11"/>
        <color rgb="FF000000"/>
        <rFont val="Symbol"/>
      </rPr>
      <t>D</t>
    </r>
    <r>
      <rPr>
        <sz val="11"/>
        <color rgb="FF000000"/>
        <rFont val="Arial"/>
        <scheme val="minor"/>
      </rPr>
      <t>Hf</t>
    </r>
  </si>
  <si>
    <r>
      <t>Extensão da reação (</t>
    </r>
    <r>
      <rPr>
        <sz val="11"/>
        <color theme="1"/>
        <rFont val="Symbol"/>
        <family val="1"/>
        <charset val="2"/>
      </rPr>
      <t>e</t>
    </r>
    <r>
      <rPr>
        <sz val="11"/>
        <color theme="1"/>
        <rFont val="Arial"/>
        <family val="2"/>
        <scheme val="minor"/>
      </rPr>
      <t>)</t>
    </r>
  </si>
  <si>
    <t>mol/s</t>
  </si>
  <si>
    <r>
      <t>O</t>
    </r>
    <r>
      <rPr>
        <vertAlign val="subscript"/>
        <sz val="11"/>
        <color theme="1"/>
        <rFont val="Arial"/>
        <family val="2"/>
        <scheme val="minor"/>
      </rPr>
      <t>2</t>
    </r>
  </si>
  <si>
    <r>
      <t>N</t>
    </r>
    <r>
      <rPr>
        <vertAlign val="subscript"/>
        <sz val="11"/>
        <color theme="1"/>
        <rFont val="Arial"/>
        <family val="2"/>
        <scheme val="minor"/>
      </rPr>
      <t>2</t>
    </r>
  </si>
  <si>
    <t>Balanço de Energia</t>
  </si>
  <si>
    <r>
      <t>CO</t>
    </r>
    <r>
      <rPr>
        <vertAlign val="subscript"/>
        <sz val="11"/>
        <color theme="1"/>
        <rFont val="Arial"/>
        <family val="2"/>
        <scheme val="minor"/>
      </rPr>
      <t>2</t>
    </r>
  </si>
  <si>
    <t>Q =</t>
  </si>
  <si>
    <t>kJ/s</t>
  </si>
  <si>
    <r>
      <t>H</t>
    </r>
    <r>
      <rPr>
        <vertAlign val="subscript"/>
        <sz val="11"/>
        <color theme="1"/>
        <rFont val="Arial"/>
        <family val="2"/>
        <scheme val="minor"/>
      </rPr>
      <t>2</t>
    </r>
    <r>
      <rPr>
        <sz val="11"/>
        <color theme="1"/>
        <rFont val="Arial"/>
        <family val="2"/>
        <scheme val="minor"/>
      </rPr>
      <t>O</t>
    </r>
  </si>
  <si>
    <t>CO</t>
  </si>
  <si>
    <r>
      <t>H</t>
    </r>
    <r>
      <rPr>
        <vertAlign val="subscript"/>
        <sz val="11"/>
        <color theme="1"/>
        <rFont val="Arial"/>
        <family val="2"/>
        <scheme val="minor"/>
      </rPr>
      <t>2</t>
    </r>
  </si>
  <si>
    <t>Capacidades caloríficas (kJ/°C.mol)</t>
  </si>
  <si>
    <t>espécies</t>
  </si>
  <si>
    <r>
      <rPr>
        <sz val="11"/>
        <color rgb="FF000000"/>
        <rFont val="Symbol"/>
      </rPr>
      <t>D</t>
    </r>
    <r>
      <rPr>
        <sz val="11"/>
        <color rgb="FF000000"/>
        <rFont val="Arial"/>
        <scheme val="minor"/>
      </rPr>
      <t>H</t>
    </r>
    <r>
      <rPr>
        <vertAlign val="subscript"/>
        <sz val="11"/>
        <color rgb="FF000000"/>
        <rFont val="Arial"/>
        <scheme val="minor"/>
      </rPr>
      <t>R</t>
    </r>
  </si>
  <si>
    <t>b</t>
  </si>
  <si>
    <r>
      <t>CH</t>
    </r>
    <r>
      <rPr>
        <vertAlign val="subscript"/>
        <sz val="11"/>
        <color theme="1"/>
        <rFont val="Arial"/>
        <family val="2"/>
        <scheme val="minor"/>
      </rPr>
      <t>4</t>
    </r>
  </si>
  <si>
    <r>
      <t>C</t>
    </r>
    <r>
      <rPr>
        <vertAlign val="subscript"/>
        <sz val="11"/>
        <color theme="1"/>
        <rFont val="Arial"/>
        <family val="2"/>
        <scheme val="minor"/>
      </rPr>
      <t>2</t>
    </r>
    <r>
      <rPr>
        <sz val="11"/>
        <color theme="1"/>
        <rFont val="Arial"/>
        <family val="2"/>
        <scheme val="minor"/>
      </rPr>
      <t>H</t>
    </r>
    <r>
      <rPr>
        <vertAlign val="subscript"/>
        <sz val="11"/>
        <color theme="1"/>
        <rFont val="Arial"/>
        <family val="2"/>
        <scheme val="minor"/>
      </rPr>
      <t>6</t>
    </r>
  </si>
  <si>
    <r>
      <t>C</t>
    </r>
    <r>
      <rPr>
        <vertAlign val="subscript"/>
        <sz val="11"/>
        <color theme="1"/>
        <rFont val="Arial"/>
        <family val="2"/>
        <scheme val="minor"/>
      </rPr>
      <t>3</t>
    </r>
    <r>
      <rPr>
        <sz val="11"/>
        <color theme="1"/>
        <rFont val="Arial"/>
        <family val="2"/>
        <scheme val="minor"/>
      </rPr>
      <t>H</t>
    </r>
    <r>
      <rPr>
        <vertAlign val="subscript"/>
        <sz val="11"/>
        <color theme="1"/>
        <rFont val="Arial"/>
        <family val="2"/>
        <scheme val="minor"/>
      </rPr>
      <t>8</t>
    </r>
  </si>
  <si>
    <r>
      <t>C</t>
    </r>
    <r>
      <rPr>
        <vertAlign val="subscript"/>
        <sz val="11"/>
        <color theme="1"/>
        <rFont val="Arial"/>
        <family val="2"/>
        <scheme val="minor"/>
      </rPr>
      <t>4</t>
    </r>
    <r>
      <rPr>
        <sz val="11"/>
        <color theme="1"/>
        <rFont val="Arial"/>
        <family val="2"/>
        <scheme val="minor"/>
      </rPr>
      <t>H</t>
    </r>
    <r>
      <rPr>
        <vertAlign val="subscript"/>
        <sz val="11"/>
        <color theme="1"/>
        <rFont val="Arial"/>
        <family val="2"/>
        <scheme val="minor"/>
      </rPr>
      <t>10</t>
    </r>
  </si>
  <si>
    <r>
      <t>C</t>
    </r>
    <r>
      <rPr>
        <vertAlign val="subscript"/>
        <sz val="11"/>
        <color theme="1"/>
        <rFont val="Arial"/>
        <family val="2"/>
        <scheme val="minor"/>
      </rPr>
      <t>5</t>
    </r>
    <r>
      <rPr>
        <sz val="11"/>
        <color theme="1"/>
        <rFont val="Arial"/>
        <family val="2"/>
        <scheme val="minor"/>
      </rPr>
      <t>H</t>
    </r>
    <r>
      <rPr>
        <vertAlign val="subscript"/>
        <sz val="11"/>
        <color theme="1"/>
        <rFont val="Arial"/>
        <family val="2"/>
        <scheme val="minor"/>
      </rPr>
      <t>12</t>
    </r>
  </si>
  <si>
    <r>
      <t>C</t>
    </r>
    <r>
      <rPr>
        <vertAlign val="subscript"/>
        <sz val="11"/>
        <color theme="1"/>
        <rFont val="Arial"/>
        <family val="2"/>
        <scheme val="minor"/>
      </rPr>
      <t>6</t>
    </r>
    <r>
      <rPr>
        <sz val="11"/>
        <color theme="1"/>
        <rFont val="Arial"/>
        <family val="2"/>
        <scheme val="minor"/>
      </rPr>
      <t>H</t>
    </r>
    <r>
      <rPr>
        <vertAlign val="subscript"/>
        <sz val="11"/>
        <color theme="1"/>
        <rFont val="Arial"/>
        <family val="2"/>
        <scheme val="minor"/>
      </rPr>
      <t>14</t>
    </r>
  </si>
  <si>
    <t>Entalpias Específicas: kJ/mol</t>
  </si>
  <si>
    <t>T (°C)</t>
  </si>
  <si>
    <t>Seletividade (CO2)</t>
  </si>
  <si>
    <r>
      <rPr>
        <b/>
        <sz val="11"/>
        <color rgb="FF000000"/>
        <rFont val="Arial"/>
        <scheme val="minor"/>
      </rPr>
      <t>CO</t>
    </r>
    <r>
      <rPr>
        <b/>
        <vertAlign val="subscript"/>
        <sz val="11"/>
        <color rgb="FF000000"/>
        <rFont val="Arial"/>
        <scheme val="minor"/>
      </rPr>
      <t>2</t>
    </r>
  </si>
  <si>
    <r>
      <t>C</t>
    </r>
    <r>
      <rPr>
        <vertAlign val="subscript"/>
        <sz val="11"/>
        <color theme="1"/>
        <rFont val="Arial"/>
        <family val="2"/>
        <scheme val="minor"/>
      </rPr>
      <t>2</t>
    </r>
    <r>
      <rPr>
        <sz val="11"/>
        <color theme="1"/>
        <rFont val="Arial"/>
        <family val="2"/>
        <scheme val="minor"/>
      </rPr>
      <t>H</t>
    </r>
    <r>
      <rPr>
        <vertAlign val="subscript"/>
        <sz val="11"/>
        <color theme="1"/>
        <rFont val="Arial"/>
        <family val="2"/>
        <scheme val="minor"/>
      </rPr>
      <t>2</t>
    </r>
  </si>
  <si>
    <r>
      <t>CH</t>
    </r>
    <r>
      <rPr>
        <vertAlign val="subscript"/>
        <sz val="11"/>
        <color theme="1"/>
        <rFont val="Arial"/>
        <family val="2"/>
        <scheme val="minor"/>
      </rPr>
      <t>4</t>
    </r>
    <r>
      <rPr>
        <sz val="11"/>
        <color theme="1"/>
        <rFont val="Arial"/>
        <family val="2"/>
        <scheme val="minor"/>
      </rPr>
      <t>O</t>
    </r>
  </si>
  <si>
    <r>
      <t>C</t>
    </r>
    <r>
      <rPr>
        <vertAlign val="subscript"/>
        <sz val="11"/>
        <color theme="1"/>
        <rFont val="Arial"/>
        <family val="2"/>
        <scheme val="minor"/>
      </rPr>
      <t>2</t>
    </r>
    <r>
      <rPr>
        <sz val="11"/>
        <color theme="1"/>
        <rFont val="Arial"/>
        <family val="2"/>
        <scheme val="minor"/>
      </rPr>
      <t>H</t>
    </r>
    <r>
      <rPr>
        <vertAlign val="subscript"/>
        <sz val="11"/>
        <color theme="1"/>
        <rFont val="Arial"/>
        <family val="2"/>
        <scheme val="minor"/>
      </rPr>
      <t>6</t>
    </r>
    <r>
      <rPr>
        <sz val="11"/>
        <color theme="1"/>
        <rFont val="Arial"/>
        <family val="2"/>
        <scheme val="minor"/>
      </rPr>
      <t>O</t>
    </r>
  </si>
  <si>
    <r>
      <t>i-C</t>
    </r>
    <r>
      <rPr>
        <vertAlign val="subscript"/>
        <sz val="11"/>
        <color theme="1"/>
        <rFont val="Arial"/>
        <family val="2"/>
        <scheme val="minor"/>
      </rPr>
      <t>4</t>
    </r>
    <r>
      <rPr>
        <sz val="11"/>
        <color theme="1"/>
        <rFont val="Arial"/>
        <family val="2"/>
        <scheme val="minor"/>
      </rPr>
      <t>H</t>
    </r>
    <r>
      <rPr>
        <vertAlign val="subscript"/>
        <sz val="11"/>
        <color theme="1"/>
        <rFont val="Arial"/>
        <family val="2"/>
        <scheme val="minor"/>
      </rPr>
      <t>10</t>
    </r>
  </si>
  <si>
    <t>Objetivo</t>
  </si>
  <si>
    <t>Visualizar o impacto da variação de parâmetros nos balanços de combustão.</t>
  </si>
  <si>
    <t>Requisitos/Indicadores</t>
  </si>
  <si>
    <t>Status</t>
  </si>
  <si>
    <t>Eficiência Térmica</t>
  </si>
  <si>
    <t>Calor Trocado (Liberado)</t>
  </si>
  <si>
    <t>Apresentação/Gráfica</t>
  </si>
  <si>
    <t>Card</t>
  </si>
  <si>
    <t>Ar teórico</t>
  </si>
  <si>
    <t>Ar fornecido</t>
  </si>
  <si>
    <t>Rosca</t>
  </si>
  <si>
    <t>Composição de entrada</t>
  </si>
  <si>
    <t>Composição de saída</t>
  </si>
  <si>
    <t>Barras</t>
  </si>
  <si>
    <t>Sensibilidade(calor trocado vs excesso de ar)</t>
  </si>
  <si>
    <t>Dispersão</t>
  </si>
  <si>
    <t>Sensibilidade(calor trocado vs temperatura)</t>
  </si>
  <si>
    <t>Painel de controle</t>
  </si>
  <si>
    <t>Rolagem</t>
  </si>
  <si>
    <t>Eficiência termica</t>
  </si>
  <si>
    <t>Fluxo de Energia</t>
  </si>
  <si>
    <t>Calor Trocador (Q)</t>
  </si>
  <si>
    <t>Vazões de Saída dos Gases</t>
  </si>
  <si>
    <t xml:space="preserve">Vazões de Entrada </t>
  </si>
  <si>
    <r>
      <t>O</t>
    </r>
    <r>
      <rPr>
        <b/>
        <vertAlign val="subscript"/>
        <sz val="11"/>
        <color theme="1"/>
        <rFont val="Times New Roman"/>
        <family val="1"/>
        <scheme val="major"/>
      </rPr>
      <t>2</t>
    </r>
  </si>
  <si>
    <r>
      <t>N</t>
    </r>
    <r>
      <rPr>
        <b/>
        <vertAlign val="subscript"/>
        <sz val="11"/>
        <color theme="1"/>
        <rFont val="Times New Roman"/>
        <family val="1"/>
        <scheme val="major"/>
      </rPr>
      <t>2</t>
    </r>
  </si>
  <si>
    <r>
      <t>CO</t>
    </r>
    <r>
      <rPr>
        <b/>
        <vertAlign val="subscript"/>
        <sz val="11"/>
        <color rgb="FF000000"/>
        <rFont val="Times New Roman"/>
        <family val="1"/>
        <scheme val="major"/>
      </rPr>
      <t>2</t>
    </r>
  </si>
  <si>
    <r>
      <t>H</t>
    </r>
    <r>
      <rPr>
        <b/>
        <vertAlign val="subscript"/>
        <sz val="11"/>
        <color theme="1"/>
        <rFont val="Times New Roman"/>
        <family val="1"/>
        <scheme val="major"/>
      </rPr>
      <t>2</t>
    </r>
    <r>
      <rPr>
        <b/>
        <sz val="11"/>
        <color theme="1"/>
        <rFont val="Times New Roman"/>
        <family val="1"/>
        <scheme val="major"/>
      </rPr>
      <t>O</t>
    </r>
  </si>
  <si>
    <t>Combustível</t>
  </si>
  <si>
    <t>Temperatura do GC (°C)</t>
  </si>
  <si>
    <t>Excesso de Ar (%)</t>
  </si>
  <si>
    <t>Sensibilidade (Q vs Ar Excesso)</t>
  </si>
  <si>
    <t>Calor útil</t>
  </si>
  <si>
    <t>Perda de Calor (Gases de Chaminé)</t>
  </si>
  <si>
    <t>Eficiência Térmica (Perdas vs Calor Útil)</t>
  </si>
  <si>
    <t>Perda por componente</t>
  </si>
  <si>
    <t>Gás na Chaminé</t>
  </si>
  <si>
    <t>Fração Molar</t>
  </si>
  <si>
    <t>n(H)</t>
  </si>
  <si>
    <t>n(O)</t>
  </si>
  <si>
    <t>N de carbono</t>
  </si>
  <si>
    <t>N (O)</t>
  </si>
  <si>
    <t>N(H)</t>
  </si>
  <si>
    <t>O2 teórico</t>
  </si>
  <si>
    <t>Ar real</t>
  </si>
  <si>
    <r>
      <rPr>
        <sz val="11"/>
        <color rgb="FF000000"/>
        <rFont val="Symbol"/>
      </rPr>
      <t>D</t>
    </r>
    <r>
      <rPr>
        <sz val="11"/>
        <color rgb="FF000000"/>
        <rFont val="Arial"/>
        <scheme val="minor"/>
      </rPr>
      <t xml:space="preserve">H </t>
    </r>
    <r>
      <rPr>
        <sz val="11"/>
        <color rgb="FF000000"/>
        <rFont val="Arial"/>
        <family val="2"/>
        <scheme val="minor"/>
      </rPr>
      <t>sens</t>
    </r>
  </si>
  <si>
    <t>Fechamento BM</t>
  </si>
  <si>
    <t>Perda de Calor GC</t>
  </si>
  <si>
    <r>
      <t>ESTADOS DE REFERÊNCIA: C</t>
    </r>
    <r>
      <rPr>
        <b/>
        <vertAlign val="subscript"/>
        <sz val="11"/>
        <color rgb="FF000000"/>
        <rFont val="Arial"/>
        <scheme val="minor"/>
      </rPr>
      <t>n</t>
    </r>
    <r>
      <rPr>
        <b/>
        <sz val="11"/>
        <color rgb="FF000000"/>
        <rFont val="Arial"/>
        <scheme val="minor"/>
      </rPr>
      <t>H</t>
    </r>
    <r>
      <rPr>
        <b/>
        <vertAlign val="subscript"/>
        <sz val="11"/>
        <color rgb="FF000000"/>
        <rFont val="Arial"/>
        <scheme val="minor"/>
      </rPr>
      <t>2n+2 (g)</t>
    </r>
    <r>
      <rPr>
        <b/>
        <sz val="11"/>
        <color rgb="FF000000"/>
        <rFont val="Arial"/>
        <scheme val="minor"/>
      </rPr>
      <t>, CO</t>
    </r>
    <r>
      <rPr>
        <b/>
        <vertAlign val="subscript"/>
        <sz val="11"/>
        <color rgb="FF000000"/>
        <rFont val="Arial"/>
        <scheme val="minor"/>
      </rPr>
      <t>2 (g)</t>
    </r>
    <r>
      <rPr>
        <b/>
        <sz val="11"/>
        <color rgb="FF000000"/>
        <rFont val="Arial"/>
        <scheme val="minor"/>
      </rPr>
      <t>, O</t>
    </r>
    <r>
      <rPr>
        <b/>
        <vertAlign val="subscript"/>
        <sz val="11"/>
        <color rgb="FF000000"/>
        <rFont val="Arial"/>
        <scheme val="minor"/>
      </rPr>
      <t>2 (g)</t>
    </r>
    <r>
      <rPr>
        <b/>
        <sz val="11"/>
        <color rgb="FF000000"/>
        <rFont val="Arial"/>
        <scheme val="minor"/>
      </rPr>
      <t>, N</t>
    </r>
    <r>
      <rPr>
        <b/>
        <vertAlign val="subscript"/>
        <sz val="11"/>
        <color rgb="FF000000"/>
        <rFont val="Arial"/>
        <scheme val="minor"/>
      </rPr>
      <t>2 (g)</t>
    </r>
    <r>
      <rPr>
        <b/>
        <sz val="11"/>
        <color rgb="FF000000"/>
        <rFont val="Arial"/>
        <scheme val="minor"/>
      </rPr>
      <t>, H</t>
    </r>
    <r>
      <rPr>
        <b/>
        <vertAlign val="subscript"/>
        <sz val="11"/>
        <color rgb="FF000000"/>
        <rFont val="Arial"/>
        <scheme val="minor"/>
      </rPr>
      <t>2</t>
    </r>
    <r>
      <rPr>
        <b/>
        <sz val="11"/>
        <color rgb="FF000000"/>
        <rFont val="Arial"/>
        <scheme val="minor"/>
      </rPr>
      <t>O</t>
    </r>
    <r>
      <rPr>
        <b/>
        <vertAlign val="subscript"/>
        <sz val="11"/>
        <color rgb="FF000000"/>
        <rFont val="Arial"/>
        <scheme val="minor"/>
      </rPr>
      <t xml:space="preserve"> (g)</t>
    </r>
    <r>
      <rPr>
        <b/>
        <sz val="11"/>
        <color rgb="FF000000"/>
        <rFont val="Arial"/>
        <scheme val="minor"/>
      </rPr>
      <t xml:space="preserve">                       a 25°C e 1 atm.</t>
    </r>
  </si>
  <si>
    <t>Ar Teórico</t>
  </si>
  <si>
    <t>Ar Fornecido</t>
  </si>
  <si>
    <t>Fechamento de Balanço</t>
  </si>
  <si>
    <t>Total</t>
  </si>
  <si>
    <t>Conversão</t>
  </si>
  <si>
    <t>% da Perda Total</t>
  </si>
  <si>
    <t>Temperatura de entrada (K)</t>
  </si>
  <si>
    <t>Calor Combustão</t>
  </si>
  <si>
    <t>Calor Chaminé</t>
  </si>
  <si>
    <t>Q  (kJ/s)</t>
  </si>
  <si>
    <t>CH4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</si>
</sst>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vertAlign val="subscript"/>
      <sz val="11"/>
      <color theme="1"/>
      <name val="Arial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2"/>
    </font>
    <font>
      <i/>
      <sz val="11"/>
      <color theme="1"/>
      <name val="Arial"/>
      <family val="2"/>
      <scheme val="minor"/>
    </font>
    <font>
      <b/>
      <vertAlign val="subscript"/>
      <sz val="11"/>
      <color theme="1"/>
      <name val="Arial"/>
      <family val="2"/>
      <scheme val="minor"/>
    </font>
    <font>
      <b/>
      <sz val="11"/>
      <color rgb="FF000000"/>
      <name val="Arial"/>
      <scheme val="minor"/>
    </font>
    <font>
      <b/>
      <vertAlign val="subscript"/>
      <sz val="11"/>
      <color rgb="FF000000"/>
      <name val="Arial"/>
      <scheme val="minor"/>
    </font>
    <font>
      <b/>
      <sz val="11"/>
      <color rgb="FFFF0000"/>
      <name val="Arial"/>
      <family val="2"/>
      <scheme val="minor"/>
    </font>
    <font>
      <i/>
      <sz val="11"/>
      <color rgb="FF000000"/>
      <name val="Arial"/>
      <scheme val="minor"/>
    </font>
    <font>
      <b/>
      <sz val="11"/>
      <color rgb="FF000000"/>
      <name val="Calibri"/>
      <charset val="1"/>
    </font>
    <font>
      <sz val="11"/>
      <color rgb="FF000000"/>
      <name val="Calibri"/>
      <charset val="1"/>
    </font>
    <font>
      <sz val="11"/>
      <color rgb="FF000000"/>
      <name val="Symbol"/>
    </font>
    <font>
      <sz val="11"/>
      <color rgb="FF000000"/>
      <name val="Arial"/>
      <scheme val="minor"/>
    </font>
    <font>
      <vertAlign val="subscript"/>
      <sz val="11"/>
      <color rgb="FF000000"/>
      <name val="Arial"/>
      <scheme val="minor"/>
    </font>
    <font>
      <sz val="11"/>
      <color rgb="FF000000"/>
      <name val="Arial"/>
      <family val="2"/>
      <scheme val="minor"/>
    </font>
    <font>
      <sz val="11"/>
      <color theme="1"/>
      <name val="Arial"/>
      <family val="2"/>
      <scheme val="minor"/>
    </font>
    <font>
      <b/>
      <sz val="13"/>
      <color theme="3"/>
      <name val="Arial"/>
      <family val="2"/>
      <scheme val="minor"/>
    </font>
    <font>
      <sz val="11"/>
      <color theme="1"/>
      <name val="Times New Roman"/>
      <family val="1"/>
      <scheme val="major"/>
    </font>
    <font>
      <b/>
      <sz val="13"/>
      <color theme="3"/>
      <name val="Times New Roman"/>
      <family val="1"/>
      <scheme val="major"/>
    </font>
    <font>
      <b/>
      <sz val="11"/>
      <color theme="1"/>
      <name val="Times New Roman"/>
      <family val="1"/>
      <scheme val="major"/>
    </font>
    <font>
      <b/>
      <vertAlign val="subscript"/>
      <sz val="11"/>
      <color theme="1"/>
      <name val="Times New Roman"/>
      <family val="1"/>
      <scheme val="major"/>
    </font>
    <font>
      <b/>
      <sz val="11"/>
      <color rgb="FF000000"/>
      <name val="Times New Roman"/>
      <family val="1"/>
      <scheme val="major"/>
    </font>
    <font>
      <b/>
      <vertAlign val="subscript"/>
      <sz val="11"/>
      <color rgb="FF000000"/>
      <name val="Times New Roman"/>
      <family val="1"/>
      <scheme val="major"/>
    </font>
    <font>
      <sz val="16"/>
      <color theme="0"/>
      <name val="Times New Roman"/>
      <family val="1"/>
      <scheme val="major"/>
    </font>
    <font>
      <sz val="14"/>
      <color theme="0"/>
      <name val="Times New Roman"/>
      <family val="1"/>
      <scheme val="major"/>
    </font>
    <font>
      <sz val="14"/>
      <color theme="1"/>
      <name val="Arial"/>
      <family val="2"/>
      <scheme val="minor"/>
    </font>
    <font>
      <sz val="18"/>
      <color theme="0"/>
      <name val="Times New Roman"/>
      <family val="1"/>
      <scheme val="major"/>
    </font>
    <font>
      <b/>
      <sz val="16"/>
      <color theme="0"/>
      <name val="Aria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medium">
        <color theme="3" tint="0.79998168889431442"/>
      </top>
      <bottom/>
      <diagonal/>
    </border>
    <border>
      <left style="medium">
        <color theme="3" tint="0.79998168889431442"/>
      </left>
      <right/>
      <top/>
      <bottom style="medium">
        <color theme="3" tint="0.79998168889431442"/>
      </bottom>
      <diagonal/>
    </border>
    <border>
      <left/>
      <right/>
      <top/>
      <bottom style="medium">
        <color theme="3" tint="0.79998168889431442"/>
      </bottom>
      <diagonal/>
    </border>
    <border>
      <left/>
      <right style="medium">
        <color theme="3" tint="0.79998168889431442"/>
      </right>
      <top/>
      <bottom style="medium">
        <color theme="3" tint="0.79998168889431442"/>
      </bottom>
      <diagonal/>
    </border>
    <border>
      <left style="medium">
        <color theme="3" tint="0.79998168889431442"/>
      </left>
      <right/>
      <top style="medium">
        <color theme="3" tint="0.79998168889431442"/>
      </top>
      <bottom/>
      <diagonal/>
    </border>
    <border>
      <left/>
      <right style="medium">
        <color theme="3" tint="0.79998168889431442"/>
      </right>
      <top style="medium">
        <color theme="3" tint="0.79998168889431442"/>
      </top>
      <bottom/>
      <diagonal/>
    </border>
    <border>
      <left style="medium">
        <color theme="3" tint="0.79998168889431442"/>
      </left>
      <right/>
      <top/>
      <bottom/>
      <diagonal/>
    </border>
    <border>
      <left/>
      <right style="medium">
        <color theme="3" tint="0.79998168889431442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 tint="0.79998168889431442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medium">
        <color theme="3" tint="0.79998168889431442"/>
      </right>
      <top/>
      <bottom style="double">
        <color theme="0"/>
      </bottom>
      <diagonal/>
    </border>
  </borders>
  <cellStyleXfs count="3">
    <xf numFmtId="0" fontId="0" fillId="0" borderId="0"/>
    <xf numFmtId="9" fontId="17" fillId="0" borderId="0" applyFont="0" applyFill="0" applyBorder="0" applyAlignment="0" applyProtection="0"/>
    <xf numFmtId="0" fontId="18" fillId="0" borderId="54" applyNumberFormat="0" applyFill="0" applyAlignment="0" applyProtection="0"/>
  </cellStyleXfs>
  <cellXfs count="192">
    <xf numFmtId="0" fontId="0" fillId="0" borderId="0" xfId="0"/>
    <xf numFmtId="0" fontId="0" fillId="0" borderId="0" xfId="0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11" fontId="0" fillId="6" borderId="5" xfId="0" applyNumberFormat="1" applyFill="1" applyBorder="1" applyAlignment="1">
      <alignment horizontal="center" vertical="center"/>
    </xf>
    <xf numFmtId="0" fontId="0" fillId="6" borderId="37" xfId="0" applyFill="1" applyBorder="1" applyAlignment="1">
      <alignment horizontal="center"/>
    </xf>
    <xf numFmtId="2" fontId="0" fillId="6" borderId="5" xfId="0" applyNumberFormat="1" applyFill="1" applyBorder="1" applyAlignment="1">
      <alignment horizontal="center" vertical="center"/>
    </xf>
    <xf numFmtId="2" fontId="0" fillId="6" borderId="5" xfId="0" quotePrefix="1" applyNumberForma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right" vertical="center"/>
    </xf>
    <xf numFmtId="2" fontId="9" fillId="4" borderId="21" xfId="0" applyNumberFormat="1" applyFont="1" applyFill="1" applyBorder="1" applyAlignment="1">
      <alignment horizontal="center" vertical="center"/>
    </xf>
    <xf numFmtId="0" fontId="9" fillId="4" borderId="15" xfId="0" applyFont="1" applyFill="1" applyBorder="1" applyAlignment="1">
      <alignment horizontal="left" vertical="center"/>
    </xf>
    <xf numFmtId="11" fontId="0" fillId="9" borderId="6" xfId="0" applyNumberFormat="1" applyFill="1" applyBorder="1" applyAlignment="1">
      <alignment horizontal="center" vertical="center"/>
    </xf>
    <xf numFmtId="11" fontId="0" fillId="9" borderId="7" xfId="0" applyNumberFormat="1" applyFill="1" applyBorder="1" applyAlignment="1">
      <alignment horizontal="center" vertical="center"/>
    </xf>
    <xf numFmtId="11" fontId="0" fillId="9" borderId="9" xfId="0" applyNumberFormat="1" applyFill="1" applyBorder="1" applyAlignment="1">
      <alignment horizontal="center" vertical="center"/>
    </xf>
    <xf numFmtId="11" fontId="0" fillId="9" borderId="5" xfId="0" applyNumberFormat="1" applyFill="1" applyBorder="1" applyAlignment="1">
      <alignment horizontal="center" vertical="center"/>
    </xf>
    <xf numFmtId="11" fontId="0" fillId="9" borderId="11" xfId="0" applyNumberFormat="1" applyFill="1" applyBorder="1" applyAlignment="1">
      <alignment horizontal="center" vertical="center"/>
    </xf>
    <xf numFmtId="11" fontId="0" fillId="9" borderId="12" xfId="0" applyNumberForma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1" fillId="8" borderId="38" xfId="0" applyFont="1" applyFill="1" applyBorder="1" applyAlignment="1">
      <alignment horizontal="center"/>
    </xf>
    <xf numFmtId="2" fontId="0" fillId="6" borderId="20" xfId="0" quotePrefix="1" applyNumberFormat="1" applyFill="1" applyBorder="1" applyAlignment="1">
      <alignment horizontal="center" vertical="center"/>
    </xf>
    <xf numFmtId="2" fontId="0" fillId="6" borderId="20" xfId="0" applyNumberFormat="1" applyFill="1" applyBorder="1" applyAlignment="1">
      <alignment horizontal="center" vertical="center"/>
    </xf>
    <xf numFmtId="0" fontId="12" fillId="6" borderId="37" xfId="0" quotePrefix="1" applyFont="1" applyFill="1" applyBorder="1" applyAlignment="1">
      <alignment horizontal="center"/>
    </xf>
    <xf numFmtId="2" fontId="0" fillId="6" borderId="37" xfId="0" applyNumberFormat="1" applyFill="1" applyBorder="1" applyAlignment="1">
      <alignment horizontal="center" vertical="center"/>
    </xf>
    <xf numFmtId="0" fontId="0" fillId="6" borderId="39" xfId="0" applyFill="1" applyBorder="1" applyAlignment="1">
      <alignment horizontal="center"/>
    </xf>
    <xf numFmtId="0" fontId="0" fillId="4" borderId="20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0" fontId="10" fillId="10" borderId="27" xfId="0" applyFont="1" applyFill="1" applyBorder="1" applyAlignment="1">
      <alignment horizontal="center" vertical="center"/>
    </xf>
    <xf numFmtId="0" fontId="0" fillId="10" borderId="27" xfId="0" applyFill="1" applyBorder="1" applyAlignment="1">
      <alignment horizontal="center" vertical="center"/>
    </xf>
    <xf numFmtId="0" fontId="0" fillId="10" borderId="28" xfId="0" applyFill="1" applyBorder="1" applyAlignment="1">
      <alignment horizontal="center" vertical="center"/>
    </xf>
    <xf numFmtId="0" fontId="0" fillId="10" borderId="44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50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17" xfId="0" applyFill="1" applyBorder="1" applyAlignment="1">
      <alignment horizontal="center" vertical="center"/>
    </xf>
    <xf numFmtId="0" fontId="0" fillId="10" borderId="18" xfId="0" applyFill="1" applyBorder="1" applyAlignment="1">
      <alignment horizontal="center" vertical="center"/>
    </xf>
    <xf numFmtId="0" fontId="0" fillId="10" borderId="42" xfId="0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11" fontId="0" fillId="8" borderId="6" xfId="0" applyNumberFormat="1" applyFill="1" applyBorder="1" applyAlignment="1">
      <alignment horizontal="center" vertical="center"/>
    </xf>
    <xf numFmtId="11" fontId="0" fillId="8" borderId="7" xfId="0" applyNumberFormat="1" applyFill="1" applyBorder="1" applyAlignment="1">
      <alignment horizontal="center" vertical="center"/>
    </xf>
    <xf numFmtId="11" fontId="0" fillId="8" borderId="8" xfId="0" applyNumberForma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11" fontId="0" fillId="8" borderId="9" xfId="0" applyNumberFormat="1" applyFill="1" applyBorder="1" applyAlignment="1">
      <alignment horizontal="center" vertical="center"/>
    </xf>
    <xf numFmtId="11" fontId="0" fillId="8" borderId="5" xfId="0" applyNumberFormat="1" applyFill="1" applyBorder="1" applyAlignment="1">
      <alignment horizontal="center" vertical="center"/>
    </xf>
    <xf numFmtId="11" fontId="0" fillId="8" borderId="10" xfId="0" applyNumberFormat="1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11" fontId="0" fillId="8" borderId="12" xfId="0" applyNumberFormat="1" applyFill="1" applyBorder="1" applyAlignment="1">
      <alignment horizontal="center" vertical="center"/>
    </xf>
    <xf numFmtId="11" fontId="0" fillId="8" borderId="13" xfId="0" applyNumberFormat="1" applyFill="1" applyBorder="1" applyAlignment="1">
      <alignment horizontal="center" vertical="center"/>
    </xf>
    <xf numFmtId="0" fontId="0" fillId="8" borderId="43" xfId="0" applyFill="1" applyBorder="1" applyAlignment="1">
      <alignment horizontal="center" vertical="center"/>
    </xf>
    <xf numFmtId="11" fontId="0" fillId="8" borderId="36" xfId="0" applyNumberFormat="1" applyFill="1" applyBorder="1" applyAlignment="1">
      <alignment horizontal="center" vertical="center"/>
    </xf>
    <xf numFmtId="0" fontId="0" fillId="8" borderId="45" xfId="0" applyFill="1" applyBorder="1" applyAlignment="1">
      <alignment horizontal="center" vertical="center"/>
    </xf>
    <xf numFmtId="11" fontId="0" fillId="8" borderId="15" xfId="0" applyNumberFormat="1" applyFill="1" applyBorder="1" applyAlignment="1">
      <alignment horizontal="center" vertical="center"/>
    </xf>
    <xf numFmtId="0" fontId="0" fillId="8" borderId="47" xfId="0" applyFill="1" applyBorder="1" applyAlignment="1">
      <alignment horizontal="center" vertical="center"/>
    </xf>
    <xf numFmtId="11" fontId="0" fillId="8" borderId="48" xfId="0" applyNumberFormat="1" applyFill="1" applyBorder="1" applyAlignment="1">
      <alignment horizontal="center" vertical="center"/>
    </xf>
    <xf numFmtId="2" fontId="0" fillId="8" borderId="5" xfId="0" applyNumberFormat="1" applyFill="1" applyBorder="1" applyAlignment="1">
      <alignment horizontal="center" vertical="center"/>
    </xf>
    <xf numFmtId="2" fontId="0" fillId="8" borderId="45" xfId="0" applyNumberFormat="1" applyFill="1" applyBorder="1" applyAlignment="1">
      <alignment horizontal="center" vertical="center"/>
    </xf>
    <xf numFmtId="2" fontId="0" fillId="8" borderId="51" xfId="0" applyNumberFormat="1" applyFill="1" applyBorder="1" applyAlignment="1">
      <alignment horizontal="center" vertical="center"/>
    </xf>
    <xf numFmtId="2" fontId="0" fillId="8" borderId="47" xfId="0" applyNumberFormat="1" applyFill="1" applyBorder="1" applyAlignment="1">
      <alignment horizontal="center" vertical="center"/>
    </xf>
    <xf numFmtId="0" fontId="0" fillId="8" borderId="52" xfId="0" applyFill="1" applyBorder="1" applyAlignment="1">
      <alignment horizontal="center" vertical="center"/>
    </xf>
    <xf numFmtId="11" fontId="0" fillId="9" borderId="35" xfId="0" applyNumberFormat="1" applyFill="1" applyBorder="1" applyAlignment="1">
      <alignment horizontal="center" vertical="center"/>
    </xf>
    <xf numFmtId="11" fontId="0" fillId="9" borderId="14" xfId="0" applyNumberFormat="1" applyFill="1" applyBorder="1" applyAlignment="1">
      <alignment horizontal="center" vertical="center"/>
    </xf>
    <xf numFmtId="11" fontId="0" fillId="9" borderId="53" xfId="0" applyNumberFormat="1" applyFill="1" applyBorder="1" applyAlignment="1">
      <alignment horizontal="center" vertical="center"/>
    </xf>
    <xf numFmtId="0" fontId="19" fillId="0" borderId="0" xfId="0" applyFont="1"/>
    <xf numFmtId="0" fontId="18" fillId="0" borderId="54" xfId="2"/>
    <xf numFmtId="0" fontId="20" fillId="0" borderId="54" xfId="2" applyFont="1"/>
    <xf numFmtId="0" fontId="0" fillId="6" borderId="5" xfId="0" applyFill="1" applyBorder="1" applyAlignment="1">
      <alignment horizontal="center"/>
    </xf>
    <xf numFmtId="9" fontId="0" fillId="6" borderId="5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1" fillId="2" borderId="19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55" xfId="0" applyFill="1" applyBorder="1"/>
    <xf numFmtId="0" fontId="0" fillId="12" borderId="60" xfId="0" applyFill="1" applyBorder="1"/>
    <xf numFmtId="0" fontId="0" fillId="12" borderId="61" xfId="0" applyFill="1" applyBorder="1"/>
    <xf numFmtId="0" fontId="0" fillId="12" borderId="62" xfId="0" applyFill="1" applyBorder="1"/>
    <xf numFmtId="0" fontId="0" fillId="4" borderId="63" xfId="0" applyFill="1" applyBorder="1" applyAlignment="1">
      <alignment horizontal="center"/>
    </xf>
    <xf numFmtId="0" fontId="25" fillId="12" borderId="0" xfId="0" applyFont="1" applyFill="1"/>
    <xf numFmtId="2" fontId="0" fillId="0" borderId="0" xfId="0" applyNumberFormat="1"/>
    <xf numFmtId="0" fontId="28" fillId="12" borderId="0" xfId="0" applyFont="1" applyFill="1"/>
    <xf numFmtId="9" fontId="1" fillId="2" borderId="19" xfId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21" fillId="11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2" fontId="21" fillId="2" borderId="5" xfId="0" applyNumberFormat="1" applyFont="1" applyFill="1" applyBorder="1" applyAlignment="1">
      <alignment horizontal="center" vertical="center"/>
    </xf>
    <xf numFmtId="2" fontId="21" fillId="2" borderId="19" xfId="0" applyNumberFormat="1" applyFont="1" applyFill="1" applyBorder="1" applyAlignment="1">
      <alignment horizontal="center" vertical="center"/>
    </xf>
    <xf numFmtId="0" fontId="21" fillId="2" borderId="19" xfId="1" applyNumberFormat="1" applyFont="1" applyFill="1" applyBorder="1" applyAlignment="1">
      <alignment horizontal="center" vertical="center"/>
    </xf>
    <xf numFmtId="2" fontId="21" fillId="2" borderId="5" xfId="1" applyNumberFormat="1" applyFont="1" applyFill="1" applyBorder="1" applyAlignment="1">
      <alignment horizontal="center" vertical="center"/>
    </xf>
    <xf numFmtId="9" fontId="1" fillId="2" borderId="5" xfId="0" applyNumberFormat="1" applyFont="1" applyFill="1" applyBorder="1" applyAlignment="1">
      <alignment horizontal="center" vertical="center"/>
    </xf>
    <xf numFmtId="0" fontId="0" fillId="12" borderId="72" xfId="0" applyFill="1" applyBorder="1"/>
    <xf numFmtId="0" fontId="0" fillId="12" borderId="73" xfId="0" applyFill="1" applyBorder="1"/>
    <xf numFmtId="0" fontId="0" fillId="12" borderId="74" xfId="0" applyFill="1" applyBorder="1"/>
    <xf numFmtId="0" fontId="25" fillId="12" borderId="76" xfId="0" applyFont="1" applyFill="1" applyBorder="1"/>
    <xf numFmtId="2" fontId="0" fillId="4" borderId="37" xfId="1" applyNumberFormat="1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 vertical="center"/>
    </xf>
    <xf numFmtId="0" fontId="0" fillId="8" borderId="77" xfId="0" applyFill="1" applyBorder="1" applyAlignment="1">
      <alignment horizontal="center" vertical="center"/>
    </xf>
    <xf numFmtId="2" fontId="0" fillId="8" borderId="78" xfId="0" applyNumberForma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2" fontId="0" fillId="8" borderId="79" xfId="0" applyNumberForma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0" fillId="8" borderId="80" xfId="0" applyFill="1" applyBorder="1" applyAlignment="1">
      <alignment horizontal="center" vertical="center"/>
    </xf>
    <xf numFmtId="2" fontId="0" fillId="8" borderId="81" xfId="0" applyNumberFormat="1" applyFill="1" applyBorder="1" applyAlignment="1">
      <alignment horizontal="center" vertical="center"/>
    </xf>
    <xf numFmtId="0" fontId="1" fillId="7" borderId="82" xfId="0" applyFont="1" applyFill="1" applyBorder="1" applyAlignment="1">
      <alignment horizontal="center" vertical="center"/>
    </xf>
    <xf numFmtId="0" fontId="1" fillId="7" borderId="83" xfId="0" applyFont="1" applyFill="1" applyBorder="1" applyAlignment="1">
      <alignment horizontal="center" vertical="center"/>
    </xf>
    <xf numFmtId="0" fontId="1" fillId="7" borderId="84" xfId="0" applyFont="1" applyFill="1" applyBorder="1" applyAlignment="1">
      <alignment horizontal="center" vertical="center"/>
    </xf>
    <xf numFmtId="2" fontId="21" fillId="11" borderId="5" xfId="0" applyNumberFormat="1" applyFont="1" applyFill="1" applyBorder="1" applyAlignment="1">
      <alignment horizontal="center" vertical="center"/>
    </xf>
    <xf numFmtId="2" fontId="21" fillId="11" borderId="19" xfId="0" applyNumberFormat="1" applyFont="1" applyFill="1" applyBorder="1" applyAlignment="1">
      <alignment horizontal="center" vertical="center"/>
    </xf>
    <xf numFmtId="0" fontId="21" fillId="11" borderId="19" xfId="0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center" vertical="center"/>
    </xf>
    <xf numFmtId="0" fontId="21" fillId="11" borderId="20" xfId="0" applyFont="1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29" fillId="12" borderId="0" xfId="0" applyFont="1" applyFill="1"/>
    <xf numFmtId="0" fontId="0" fillId="13" borderId="0" xfId="0" applyFill="1"/>
    <xf numFmtId="9" fontId="21" fillId="2" borderId="19" xfId="1" applyFont="1" applyFill="1" applyBorder="1" applyAlignment="1">
      <alignment horizontal="center" vertical="center"/>
    </xf>
    <xf numFmtId="10" fontId="0" fillId="0" borderId="0" xfId="0" applyNumberFormat="1"/>
    <xf numFmtId="1" fontId="0" fillId="4" borderId="5" xfId="0" applyNumberFormat="1" applyFill="1" applyBorder="1" applyAlignment="1">
      <alignment horizontal="center" vertical="center"/>
    </xf>
    <xf numFmtId="0" fontId="26" fillId="12" borderId="61" xfId="0" applyFont="1" applyFill="1" applyBorder="1" applyAlignment="1">
      <alignment horizontal="center"/>
    </xf>
    <xf numFmtId="0" fontId="26" fillId="12" borderId="0" xfId="0" applyFont="1" applyFill="1" applyAlignment="1">
      <alignment horizontal="center"/>
    </xf>
    <xf numFmtId="0" fontId="26" fillId="12" borderId="62" xfId="0" applyFont="1" applyFill="1" applyBorder="1" applyAlignment="1">
      <alignment horizontal="center"/>
    </xf>
    <xf numFmtId="0" fontId="26" fillId="12" borderId="85" xfId="0" applyFont="1" applyFill="1" applyBorder="1" applyAlignment="1">
      <alignment horizontal="center"/>
    </xf>
    <xf numFmtId="0" fontId="26" fillId="12" borderId="86" xfId="0" applyFont="1" applyFill="1" applyBorder="1" applyAlignment="1">
      <alignment horizontal="center"/>
    </xf>
    <xf numFmtId="0" fontId="26" fillId="12" borderId="87" xfId="0" applyFont="1" applyFill="1" applyBorder="1" applyAlignment="1">
      <alignment horizontal="center"/>
    </xf>
    <xf numFmtId="9" fontId="28" fillId="12" borderId="0" xfId="0" applyNumberFormat="1" applyFont="1" applyFill="1" applyAlignment="1">
      <alignment horizontal="center"/>
    </xf>
    <xf numFmtId="0" fontId="28" fillId="12" borderId="0" xfId="0" applyFont="1" applyFill="1" applyAlignment="1">
      <alignment horizontal="center"/>
    </xf>
    <xf numFmtId="0" fontId="26" fillId="12" borderId="75" xfId="0" applyFont="1" applyFill="1" applyBorder="1" applyAlignment="1">
      <alignment horizontal="center"/>
    </xf>
    <xf numFmtId="0" fontId="26" fillId="12" borderId="59" xfId="0" applyFont="1" applyFill="1" applyBorder="1" applyAlignment="1">
      <alignment horizontal="center"/>
    </xf>
    <xf numFmtId="0" fontId="27" fillId="12" borderId="55" xfId="0" applyFont="1" applyFill="1" applyBorder="1" applyAlignment="1">
      <alignment horizontal="center"/>
    </xf>
    <xf numFmtId="0" fontId="27" fillId="12" borderId="60" xfId="0" applyFont="1" applyFill="1" applyBorder="1" applyAlignment="1">
      <alignment horizontal="center"/>
    </xf>
    <xf numFmtId="0" fontId="25" fillId="12" borderId="56" xfId="0" applyFont="1" applyFill="1" applyBorder="1" applyAlignment="1">
      <alignment horizontal="center"/>
    </xf>
    <xf numFmtId="0" fontId="25" fillId="12" borderId="57" xfId="0" applyFont="1" applyFill="1" applyBorder="1" applyAlignment="1">
      <alignment horizontal="center"/>
    </xf>
    <xf numFmtId="0" fontId="25" fillId="12" borderId="58" xfId="0" applyFont="1" applyFill="1" applyBorder="1" applyAlignment="1">
      <alignment horizontal="center"/>
    </xf>
    <xf numFmtId="0" fontId="26" fillId="12" borderId="59" xfId="0" applyFont="1" applyFill="1" applyBorder="1" applyAlignment="1">
      <alignment horizontal="left"/>
    </xf>
    <xf numFmtId="0" fontId="0" fillId="12" borderId="55" xfId="0" applyFill="1" applyBorder="1" applyAlignment="1">
      <alignment horizontal="left"/>
    </xf>
    <xf numFmtId="0" fontId="0" fillId="12" borderId="60" xfId="0" applyFill="1" applyBorder="1" applyAlignment="1">
      <alignment horizontal="left"/>
    </xf>
    <xf numFmtId="2" fontId="28" fillId="12" borderId="0" xfId="0" applyNumberFormat="1" applyFont="1" applyFill="1" applyAlignment="1">
      <alignment horizontal="center"/>
    </xf>
    <xf numFmtId="0" fontId="0" fillId="12" borderId="61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62" xfId="0" applyFill="1" applyBorder="1" applyAlignment="1">
      <alignment horizontal="center"/>
    </xf>
    <xf numFmtId="0" fontId="26" fillId="12" borderId="56" xfId="0" applyFont="1" applyFill="1" applyBorder="1" applyAlignment="1">
      <alignment horizontal="center"/>
    </xf>
    <xf numFmtId="0" fontId="26" fillId="12" borderId="57" xfId="0" applyFont="1" applyFill="1" applyBorder="1" applyAlignment="1">
      <alignment horizontal="center"/>
    </xf>
    <xf numFmtId="0" fontId="26" fillId="12" borderId="58" xfId="0" applyFont="1" applyFill="1" applyBorder="1" applyAlignment="1">
      <alignment horizontal="center"/>
    </xf>
    <xf numFmtId="0" fontId="25" fillId="12" borderId="70" xfId="0" applyFont="1" applyFill="1" applyBorder="1" applyAlignment="1">
      <alignment horizontal="center"/>
    </xf>
    <xf numFmtId="0" fontId="25" fillId="12" borderId="71" xfId="0" applyFont="1" applyFill="1" applyBorder="1" applyAlignment="1">
      <alignment horizontal="center"/>
    </xf>
    <xf numFmtId="0" fontId="1" fillId="7" borderId="14" xfId="0" applyFont="1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1" fillId="7" borderId="27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/>
    </xf>
    <xf numFmtId="0" fontId="1" fillId="7" borderId="35" xfId="0" applyFont="1" applyFill="1" applyBorder="1" applyAlignment="1">
      <alignment horizontal="center" vertical="center"/>
    </xf>
    <xf numFmtId="0" fontId="1" fillId="7" borderId="36" xfId="0" applyFont="1" applyFill="1" applyBorder="1" applyAlignment="1">
      <alignment horizontal="center" vertical="center"/>
    </xf>
    <xf numFmtId="0" fontId="7" fillId="0" borderId="29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0" fillId="5" borderId="68" xfId="0" applyFill="1" applyBorder="1" applyAlignment="1">
      <alignment horizontal="center" vertical="center"/>
    </xf>
    <xf numFmtId="0" fontId="0" fillId="5" borderId="69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" fillId="7" borderId="24" xfId="0" applyFont="1" applyFill="1" applyBorder="1" applyAlignment="1">
      <alignment horizontal="center" vertical="center"/>
    </xf>
    <xf numFmtId="0" fontId="0" fillId="5" borderId="64" xfId="0" applyFill="1" applyBorder="1" applyAlignment="1">
      <alignment horizontal="center"/>
    </xf>
    <xf numFmtId="0" fontId="0" fillId="5" borderId="65" xfId="0" applyFill="1" applyBorder="1" applyAlignment="1">
      <alignment horizontal="center"/>
    </xf>
    <xf numFmtId="0" fontId="1" fillId="7" borderId="40" xfId="0" applyFont="1" applyFill="1" applyBorder="1" applyAlignment="1">
      <alignment horizontal="center" vertical="center"/>
    </xf>
    <xf numFmtId="0" fontId="1" fillId="7" borderId="41" xfId="0" applyFont="1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/>
    </xf>
    <xf numFmtId="0" fontId="0" fillId="5" borderId="66" xfId="0" applyFill="1" applyBorder="1" applyAlignment="1">
      <alignment horizontal="center" vertical="center"/>
    </xf>
    <xf numFmtId="0" fontId="0" fillId="5" borderId="67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2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0" fillId="11" borderId="43" xfId="0" applyFill="1" applyBorder="1" applyAlignment="1">
      <alignment horizontal="center" vertical="center"/>
    </xf>
    <xf numFmtId="0" fontId="21" fillId="11" borderId="5" xfId="0" applyFont="1" applyFill="1" applyBorder="1" applyAlignment="1">
      <alignment horizontal="center" vertical="center"/>
    </xf>
    <xf numFmtId="0" fontId="21" fillId="11" borderId="14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 vertical="center"/>
    </xf>
    <xf numFmtId="0" fontId="21" fillId="2" borderId="14" xfId="0" applyFont="1" applyFill="1" applyBorder="1" applyAlignment="1">
      <alignment horizontal="center" vertical="center"/>
    </xf>
    <xf numFmtId="0" fontId="21" fillId="2" borderId="15" xfId="0" applyFont="1" applyFill="1" applyBorder="1" applyAlignment="1">
      <alignment horizontal="center" vertical="center"/>
    </xf>
    <xf numFmtId="0" fontId="20" fillId="0" borderId="0" xfId="2" applyFont="1" applyBorder="1" applyAlignment="1">
      <alignment horizontal="center"/>
    </xf>
  </cellXfs>
  <cellStyles count="3">
    <cellStyle name="Normal" xfId="0" builtinId="0"/>
    <cellStyle name="Porcentagem" xfId="1" builtinId="5"/>
    <cellStyle name="Título 2" xfId="2" builtinId="17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686C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Dados_Dashboard!$E$25:$E$27</c:f>
              <c:strCache>
                <c:ptCount val="3"/>
                <c:pt idx="0">
                  <c:v>Combustível</c:v>
                </c:pt>
                <c:pt idx="1">
                  <c:v>O2</c:v>
                </c:pt>
                <c:pt idx="2">
                  <c:v>N2</c:v>
                </c:pt>
              </c:strCache>
            </c:strRef>
          </c:cat>
          <c:val>
            <c:numRef>
              <c:f>Dados_Dashboard!$F$25:$F$27</c:f>
              <c:numCache>
                <c:formatCode>0.00</c:formatCode>
                <c:ptCount val="3"/>
                <c:pt idx="0">
                  <c:v>156.6</c:v>
                </c:pt>
                <c:pt idx="1">
                  <c:v>375.84</c:v>
                </c:pt>
                <c:pt idx="2">
                  <c:v>1413.8742857142856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FC-4EE0-B36E-8AAD5BBCBB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93128176"/>
        <c:axId val="793133456"/>
        <c:axId val="0"/>
      </c:bar3DChart>
      <c:catAx>
        <c:axId val="793128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3133456"/>
        <c:crosses val="autoZero"/>
        <c:auto val="1"/>
        <c:lblAlgn val="ctr"/>
        <c:lblOffset val="100"/>
        <c:noMultiLvlLbl val="0"/>
      </c:catAx>
      <c:valAx>
        <c:axId val="793133456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312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Dados_Dashboard!$K$2:$K$3</c:f>
              <c:strCache>
                <c:ptCount val="2"/>
                <c:pt idx="0">
                  <c:v>Sensibilidade (Q vs Ar Excesso)</c:v>
                </c:pt>
                <c:pt idx="1">
                  <c:v>Q  (kJ/s)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Dados_Dashboard!$J$4:$J$19</c:f>
              <c:numCache>
                <c:formatCode>0%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Dados_Dashboard!$K$4:$K$19</c:f>
              <c:numCache>
                <c:formatCode>0.00</c:formatCode>
                <c:ptCount val="16"/>
                <c:pt idx="0">
                  <c:v>-206613.89514196746</c:v>
                </c:pt>
                <c:pt idx="1">
                  <c:v>-205833.68252888677</c:v>
                </c:pt>
                <c:pt idx="2">
                  <c:v>-205053.46991580611</c:v>
                </c:pt>
                <c:pt idx="3">
                  <c:v>-204273.25730272545</c:v>
                </c:pt>
                <c:pt idx="4">
                  <c:v>-203493.04468964477</c:v>
                </c:pt>
                <c:pt idx="5">
                  <c:v>-202712.83207656408</c:v>
                </c:pt>
                <c:pt idx="6">
                  <c:v>-201932.61946348345</c:v>
                </c:pt>
                <c:pt idx="7">
                  <c:v>-201152.40685040277</c:v>
                </c:pt>
                <c:pt idx="8">
                  <c:v>-200372.19423732208</c:v>
                </c:pt>
                <c:pt idx="9">
                  <c:v>-199591.98162424142</c:v>
                </c:pt>
                <c:pt idx="10">
                  <c:v>-198811.76901116077</c:v>
                </c:pt>
                <c:pt idx="11">
                  <c:v>-198031.55639808008</c:v>
                </c:pt>
                <c:pt idx="12">
                  <c:v>-197251.34378499942</c:v>
                </c:pt>
                <c:pt idx="13">
                  <c:v>-196471.13117191877</c:v>
                </c:pt>
                <c:pt idx="14">
                  <c:v>-195690.91855883808</c:v>
                </c:pt>
                <c:pt idx="15">
                  <c:v>-194910.70594575745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51-4459-8EF2-D9C5B965C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251775"/>
        <c:axId val="2113258975"/>
      </c:scatterChart>
      <c:valAx>
        <c:axId val="211325177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258975"/>
        <c:crosses val="autoZero"/>
        <c:crossBetween val="midCat"/>
      </c:valAx>
      <c:valAx>
        <c:axId val="2113258975"/>
        <c:scaling>
          <c:orientation val="maxMin"/>
          <c:max val="-5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251775"/>
        <c:crosses val="autoZero"/>
        <c:crossBetween val="midCat"/>
      </c:valAx>
      <c:spPr>
        <a:solidFill>
          <a:schemeClr val="tx2">
            <a:lumMod val="50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50000"/>
      </a:schemeClr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36599316594861"/>
          <c:y val="6.5999787640096896E-2"/>
          <c:w val="0.68434147972069526"/>
          <c:h val="0.73272955250519067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58804117344542"/>
          <c:y val="0.129753725437982"/>
          <c:w val="0.73893012873273645"/>
          <c:h val="0.75490408198157433"/>
        </c:manualLayout>
      </c:layout>
      <c:doughnutChart>
        <c:varyColors val="1"/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D21-41ED-BB84-460F1472BB60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D21-41ED-BB84-460F1472BB60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D21-41ED-BB84-460F1472BB60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D21-41ED-BB84-460F1472BB60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D21-41ED-BB84-460F1472BB60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D21-41ED-BB84-460F1472BB6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D21-41ED-BB84-460F1472BB6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9D21-41ED-BB84-460F1472BB60}"/>
                </c:ext>
              </c:extLst>
            </c:dLbl>
            <c:dLbl>
              <c:idx val="2"/>
              <c:layout>
                <c:manualLayout>
                  <c:x val="-7.6705827044518698E-2"/>
                  <c:y val="0.132546603520994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D21-41ED-BB84-460F1472BB6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9D21-41ED-BB84-460F1472BB60}"/>
                </c:ext>
              </c:extLst>
            </c:dLbl>
            <c:dLbl>
              <c:idx val="4"/>
              <c:layout>
                <c:manualLayout>
                  <c:x val="-2.0588523762867905E-2"/>
                  <c:y val="1.522309711286122E-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886759386179224"/>
                      <c:h val="0.157933333333333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D21-41ED-BB84-460F1472BB60}"/>
                </c:ext>
              </c:extLst>
            </c:dLbl>
            <c:dLbl>
              <c:idx val="5"/>
              <c:layout>
                <c:manualLayout>
                  <c:x val="0.25499944049900447"/>
                  <c:y val="6.38091810735723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4413287550434263"/>
                      <c:h val="0.2488851142236105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D21-41ED-BB84-460F1472BB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Dados_Dashboard!$F$5:$F$10</c:f>
              <c:strCache>
                <c:ptCount val="6"/>
                <c:pt idx="0">
                  <c:v>O2</c:v>
                </c:pt>
                <c:pt idx="1">
                  <c:v>N2</c:v>
                </c:pt>
                <c:pt idx="2">
                  <c:v>CO2</c:v>
                </c:pt>
                <c:pt idx="3">
                  <c:v>H2O</c:v>
                </c:pt>
                <c:pt idx="4">
                  <c:v>CO</c:v>
                </c:pt>
                <c:pt idx="5">
                  <c:v>Combustível</c:v>
                </c:pt>
              </c:strCache>
            </c:strRef>
          </c:cat>
          <c:val>
            <c:numRef>
              <c:f>Dados_Dashboard!$G$5:$G$10</c:f>
              <c:numCache>
                <c:formatCode>General</c:formatCode>
                <c:ptCount val="6"/>
                <c:pt idx="0">
                  <c:v>6.0116068948252548E-3</c:v>
                </c:pt>
                <c:pt idx="1">
                  <c:v>8.4149181783600452E-2</c:v>
                </c:pt>
                <c:pt idx="2">
                  <c:v>7.5494598214084592E-3</c:v>
                </c:pt>
                <c:pt idx="3">
                  <c:v>1.6776577380907685E-2</c:v>
                </c:pt>
                <c:pt idx="4">
                  <c:v>8.3882886904538417E-4</c:v>
                </c:pt>
                <c:pt idx="5">
                  <c:v>9.3203207671709346E-4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D21-41ED-BB84-460F1472BB60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29651873726854"/>
          <c:y val="4.7161559079445976E-2"/>
          <c:w val="0.79140659343092934"/>
          <c:h val="0.8847161889169098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73-4FBB-AC43-1830BD2754B9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173-4FBB-AC43-1830BD2754B9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173-4FBB-AC43-1830BD2754B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173-4FBB-AC43-1830BD2754B9}"/>
                </c:ext>
              </c:extLst>
            </c:dLbl>
            <c:dLbl>
              <c:idx val="1"/>
              <c:layout>
                <c:manualLayout>
                  <c:x val="-0.2596026490066225"/>
                  <c:y val="-0.118811858031523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84921520571518"/>
                      <c:h val="0.278465292261383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173-4FBB-AC43-1830BD2754B9}"/>
                </c:ext>
              </c:extLst>
            </c:dLbl>
            <c:dLbl>
              <c:idx val="2"/>
              <c:layout>
                <c:manualLayout>
                  <c:x val="0.11125827814569536"/>
                  <c:y val="0.11138611690455349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tx2">
                            <a:lumMod val="5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/>
                      <a:t>Perda pela Chaminé
</a:t>
                    </a:r>
                    <a:fld id="{75BF1FAE-ABF1-42F4-9DD4-57EC5BA05B63}" type="PERCENTAGE">
                      <a:rPr lang="en-US" baseline="0"/>
                      <a:pPr>
                        <a:defRPr>
                          <a:solidFill>
                            <a:schemeClr val="tx2">
                              <a:lumMod val="50000"/>
                            </a:schemeClr>
                          </a:solidFill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741721854304636"/>
                      <c:h val="0.4492573381816991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8173-4FBB-AC43-1830BD275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Dados_Dashboard!$A$29:$A$31</c:f>
              <c:strCache>
                <c:ptCount val="3"/>
                <c:pt idx="0">
                  <c:v>Eficiência Térmica (Perdas vs Calor Útil)</c:v>
                </c:pt>
                <c:pt idx="1">
                  <c:v>Calor útil</c:v>
                </c:pt>
                <c:pt idx="2">
                  <c:v>Perda de Calor (Gases de Chaminé)</c:v>
                </c:pt>
              </c:strCache>
            </c:strRef>
          </c:cat>
          <c:val>
            <c:numRef>
              <c:f>Dados_Dashboard!$B$29:$B$31</c:f>
              <c:numCache>
                <c:formatCode>0.00</c:formatCode>
                <c:ptCount val="3"/>
                <c:pt idx="1">
                  <c:v>92285.563168346547</c:v>
                </c:pt>
                <c:pt idx="2">
                  <c:v>16801.996831653458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73-4FBB-AC43-1830BD2754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Dados_Dashboard!$E$17</c:f>
              <c:strCache>
                <c:ptCount val="1"/>
                <c:pt idx="0">
                  <c:v>Combustível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9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Dados_Dashboard!$F$17</c:f>
              <c:numCache>
                <c:formatCode>0.00</c:formatCode>
                <c:ptCount val="1"/>
                <c:pt idx="0">
                  <c:v>15.659999999999997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7-4FFC-A0E2-391520728A55}"/>
            </c:ext>
          </c:extLst>
        </c:ser>
        <c:ser>
          <c:idx val="1"/>
          <c:order val="1"/>
          <c:tx>
            <c:strRef>
              <c:f>Dados_Dashboard!$E$18</c:f>
              <c:strCache>
                <c:ptCount val="1"/>
                <c:pt idx="0">
                  <c:v>O2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9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Dados_Dashboard!$F$18</c:f>
              <c:numCache>
                <c:formatCode>0.00</c:formatCode>
                <c:ptCount val="1"/>
                <c:pt idx="0">
                  <c:v>101.00700000000001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7-4FFC-A0E2-391520728A55}"/>
            </c:ext>
          </c:extLst>
        </c:ser>
        <c:ser>
          <c:idx val="2"/>
          <c:order val="2"/>
          <c:tx>
            <c:strRef>
              <c:f>Dados_Dashboard!$E$19</c:f>
              <c:strCache>
                <c:ptCount val="1"/>
                <c:pt idx="0">
                  <c:v>N2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9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Dados_Dashboard!$F$19</c:f>
              <c:numCache>
                <c:formatCode>0.00</c:formatCode>
                <c:ptCount val="1"/>
                <c:pt idx="0">
                  <c:v>1413.8742857142856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7-4FFC-A0E2-391520728A55}"/>
            </c:ext>
          </c:extLst>
        </c:ser>
        <c:ser>
          <c:idx val="3"/>
          <c:order val="3"/>
          <c:tx>
            <c:strRef>
              <c:f>Dados_Dashboard!$E$20</c:f>
              <c:strCache>
                <c:ptCount val="1"/>
                <c:pt idx="0">
                  <c:v>CO2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9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Dados_Dashboard!$F$20</c:f>
              <c:numCache>
                <c:formatCode>0.00</c:formatCode>
                <c:ptCount val="1"/>
                <c:pt idx="0">
                  <c:v>126.846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7-4FFC-A0E2-391520728A55}"/>
            </c:ext>
          </c:extLst>
        </c:ser>
        <c:ser>
          <c:idx val="4"/>
          <c:order val="4"/>
          <c:tx>
            <c:strRef>
              <c:f>Dados_Dashboard!$E$21</c:f>
              <c:strCache>
                <c:ptCount val="1"/>
                <c:pt idx="0">
                  <c:v>H2O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9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Dados_Dashboard!$F$21</c:f>
              <c:numCache>
                <c:formatCode>0.00</c:formatCode>
                <c:ptCount val="1"/>
                <c:pt idx="0">
                  <c:v>281.88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B7-4FFC-A0E2-391520728A55}"/>
            </c:ext>
          </c:extLst>
        </c:ser>
        <c:ser>
          <c:idx val="5"/>
          <c:order val="5"/>
          <c:tx>
            <c:strRef>
              <c:f>Dados_Dashboard!$E$22</c:f>
              <c:strCache>
                <c:ptCount val="1"/>
                <c:pt idx="0">
                  <c:v>CO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9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Dados_Dashboard!$F$22</c:f>
              <c:numCache>
                <c:formatCode>0.00</c:formatCode>
                <c:ptCount val="1"/>
                <c:pt idx="0">
                  <c:v>14.093999999999998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B7-4FFC-A0E2-391520728A5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363405759"/>
        <c:axId val="363403359"/>
      </c:barChart>
      <c:catAx>
        <c:axId val="3634057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3403359"/>
        <c:crosses val="autoZero"/>
        <c:auto val="1"/>
        <c:lblAlgn val="ctr"/>
        <c:lblOffset val="100"/>
        <c:noMultiLvlLbl val="0"/>
      </c:catAx>
      <c:valAx>
        <c:axId val="363403359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363405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50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2">
              <a:lumMod val="90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2" fmlaLink="$A$10" inc="5" max="500" min="10" page="10" val="174"/>
</file>

<file path=xl/ctrlProps/ctrlProp2.xml><?xml version="1.0" encoding="utf-8"?>
<formControlPr xmlns="http://schemas.microsoft.com/office/spreadsheetml/2009/9/main" objectType="Spin" dx="22" fmlaLink="$A$14" inc="5" max="1200" page="10" val="25"/>
</file>

<file path=xl/ctrlProps/ctrlProp3.xml><?xml version="1.0" encoding="utf-8"?>
<formControlPr xmlns="http://schemas.microsoft.com/office/spreadsheetml/2009/9/main" objectType="Spin" dx="22" fmlaLink="$A$18" inc="5" max="1300" page="10" val="25"/>
</file>

<file path=xl/ctrlProps/ctrlProp4.xml><?xml version="1.0" encoding="utf-8"?>
<formControlPr xmlns="http://schemas.microsoft.com/office/spreadsheetml/2009/9/main" objectType="Spin" dx="22" fmlaLink="$A$22" inc="5" max="1300" page="10" val="300"/>
</file>

<file path=xl/ctrlProps/ctrlProp5.xml><?xml version="1.0" encoding="utf-8"?>
<formControlPr xmlns="http://schemas.microsoft.com/office/spreadsheetml/2009/9/main" objectType="Scroll" dx="22" fmlaLink="$A$27" horiz="1" max="300" page="10" val="20"/>
</file>

<file path=xl/ctrlProps/ctrlProp6.xml><?xml version="1.0" encoding="utf-8"?>
<formControlPr xmlns="http://schemas.microsoft.com/office/spreadsheetml/2009/9/main" objectType="Spin" dx="22" fmlaLink="$A$6" max="100" page="10" val="90"/>
</file>

<file path=xl/ctrlProps/ctrlProp7.xml><?xml version="1.0" encoding="utf-8"?>
<formControlPr xmlns="http://schemas.microsoft.com/office/spreadsheetml/2009/9/main" objectType="Spin" dx="22" fmlaLink="$D$6" max="100" page="10" val="90"/>
</file>

<file path=xl/ctrlProps/ctrlProp8.xml><?xml version="1.0" encoding="utf-8"?>
<formControlPr xmlns="http://schemas.microsoft.com/office/spreadsheetml/2009/9/main" objectType="Spin" dx="22" fmlaLink="$A$30" max="100" page="10" val="9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428625</xdr:colOff>
      <xdr:row>4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9F0F389-68BC-BA2C-68C9-67A65D5229AE}"/>
            </a:ext>
          </a:extLst>
        </xdr:cNvPr>
        <xdr:cNvSpPr txBox="1"/>
      </xdr:nvSpPr>
      <xdr:spPr>
        <a:xfrm>
          <a:off x="0" y="0"/>
          <a:ext cx="5915025" cy="80010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100">
              <a:latin typeface="+mn-lt"/>
              <a:ea typeface="+mn-lt"/>
              <a:cs typeface="+mn-lt"/>
            </a:rPr>
            <a:t>Neste processo, será considerada a queima parcial de um hidrocarboneto em fase gasosa, que entra no sistema a uma temperatura Ti e vazão molar F (mol/s) . O ar atmosférico entra a uma temperatura Tar(°C), com uma percentagem de excesso (Z%) calculada com base na estequiometria da combustão completa.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409575</xdr:colOff>
      <xdr:row>7</xdr:row>
      <xdr:rowOff>219075</xdr:rowOff>
    </xdr:from>
    <xdr:to>
      <xdr:col>14</xdr:col>
      <xdr:colOff>228601</xdr:colOff>
      <xdr:row>8</xdr:row>
      <xdr:rowOff>200025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5831" t="25459" r="3004" b="32718"/>
        <a:stretch/>
      </xdr:blipFill>
      <xdr:spPr>
        <a:xfrm>
          <a:off x="7667625" y="1885950"/>
          <a:ext cx="3076576" cy="219075"/>
        </a:xfrm>
        <a:prstGeom prst="rect">
          <a:avLst/>
        </a:prstGeom>
      </xdr:spPr>
    </xdr:pic>
    <xdr:clientData/>
  </xdr:twoCellAnchor>
  <xdr:oneCellAnchor>
    <xdr:from>
      <xdr:col>9</xdr:col>
      <xdr:colOff>0</xdr:colOff>
      <xdr:row>6</xdr:row>
      <xdr:rowOff>147637</xdr:rowOff>
    </xdr:from>
    <xdr:ext cx="65" cy="172227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7046FA9A-BA76-3249-4EB8-592617EC3353}"/>
            </a:ext>
          </a:extLst>
        </xdr:cNvPr>
        <xdr:cNvSpPr txBox="1"/>
      </xdr:nvSpPr>
      <xdr:spPr>
        <a:xfrm>
          <a:off x="5819775" y="15763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0</xdr:row>
      <xdr:rowOff>57151</xdr:rowOff>
    </xdr:from>
    <xdr:to>
      <xdr:col>18</xdr:col>
      <xdr:colOff>409575</xdr:colOff>
      <xdr:row>2</xdr:row>
      <xdr:rowOff>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2AAC9DE9-992F-493F-97A2-E8F4C5FBF94E}"/>
            </a:ext>
          </a:extLst>
        </xdr:cNvPr>
        <xdr:cNvSpPr/>
      </xdr:nvSpPr>
      <xdr:spPr>
        <a:xfrm>
          <a:off x="3571875" y="57151"/>
          <a:ext cx="9210675" cy="352424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tx1">
                  <a:lumMod val="65000"/>
                  <a:lumOff val="35000"/>
                </a:schemeClr>
              </a:solidFill>
            </a:rPr>
            <a:t>SIMULAÇÃO DE COMBUSTÃO</a:t>
          </a:r>
        </a:p>
      </xdr:txBody>
    </xdr:sp>
    <xdr:clientData/>
  </xdr:twoCellAnchor>
  <xdr:twoCellAnchor>
    <xdr:from>
      <xdr:col>5</xdr:col>
      <xdr:colOff>114300</xdr:colOff>
      <xdr:row>2</xdr:row>
      <xdr:rowOff>19050</xdr:rowOff>
    </xdr:from>
    <xdr:to>
      <xdr:col>8</xdr:col>
      <xdr:colOff>257176</xdr:colOff>
      <xdr:row>3</xdr:row>
      <xdr:rowOff>219075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51F64A0B-C93A-4EA2-B1DE-FB91E83668CA}"/>
            </a:ext>
          </a:extLst>
        </xdr:cNvPr>
        <xdr:cNvSpPr/>
      </xdr:nvSpPr>
      <xdr:spPr>
        <a:xfrm>
          <a:off x="3571875" y="428625"/>
          <a:ext cx="2200276" cy="438150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aseline="0">
              <a:solidFill>
                <a:schemeClr val="tx1">
                  <a:lumMod val="65000"/>
                  <a:lumOff val="35000"/>
                </a:schemeClr>
              </a:solidFill>
            </a:rPr>
            <a:t>Ar teórico</a:t>
          </a:r>
        </a:p>
        <a:p>
          <a:pPr algn="ctr"/>
          <a:endParaRPr lang="pt-BR" sz="20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0</xdr:row>
      <xdr:rowOff>57151</xdr:rowOff>
    </xdr:from>
    <xdr:to>
      <xdr:col>5</xdr:col>
      <xdr:colOff>9526</xdr:colOff>
      <xdr:row>1</xdr:row>
      <xdr:rowOff>123826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88D09C3A-3B1A-4070-8311-A2B360DF8090}"/>
            </a:ext>
          </a:extLst>
        </xdr:cNvPr>
        <xdr:cNvSpPr/>
      </xdr:nvSpPr>
      <xdr:spPr>
        <a:xfrm>
          <a:off x="28575" y="57151"/>
          <a:ext cx="3438526" cy="285750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</a:rPr>
            <a:t>Configurações</a:t>
          </a:r>
          <a:r>
            <a:rPr lang="pt-BR" sz="1600" b="1" baseline="0">
              <a:solidFill>
                <a:schemeClr val="tx1">
                  <a:lumMod val="65000"/>
                  <a:lumOff val="35000"/>
                </a:schemeClr>
              </a:solidFill>
            </a:rPr>
            <a:t> de Entrada</a:t>
          </a:r>
          <a:endParaRPr lang="pt-BR" sz="16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0</xdr:col>
      <xdr:colOff>47626</xdr:colOff>
      <xdr:row>2</xdr:row>
      <xdr:rowOff>19051</xdr:rowOff>
    </xdr:from>
    <xdr:to>
      <xdr:col>4</xdr:col>
      <xdr:colOff>647701</xdr:colOff>
      <xdr:row>3</xdr:row>
      <xdr:rowOff>28575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470A636-E862-4853-A41D-583A7BBB44AD}"/>
            </a:ext>
          </a:extLst>
        </xdr:cNvPr>
        <xdr:cNvSpPr/>
      </xdr:nvSpPr>
      <xdr:spPr>
        <a:xfrm>
          <a:off x="47626" y="428626"/>
          <a:ext cx="3371850" cy="247649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Escolha o Combustível</a:t>
          </a:r>
        </a:p>
      </xdr:txBody>
    </xdr:sp>
    <xdr:clientData/>
  </xdr:twoCellAnchor>
  <xdr:twoCellAnchor>
    <xdr:from>
      <xdr:col>0</xdr:col>
      <xdr:colOff>47626</xdr:colOff>
      <xdr:row>4</xdr:row>
      <xdr:rowOff>28576</xdr:rowOff>
    </xdr:from>
    <xdr:to>
      <xdr:col>2</xdr:col>
      <xdr:colOff>306917</xdr:colOff>
      <xdr:row>5</xdr:row>
      <xdr:rowOff>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CA8D9B44-F826-44A5-BF51-2C6376D6696A}"/>
            </a:ext>
          </a:extLst>
        </xdr:cNvPr>
        <xdr:cNvSpPr/>
      </xdr:nvSpPr>
      <xdr:spPr>
        <a:xfrm>
          <a:off x="47626" y="949326"/>
          <a:ext cx="1666874" cy="278341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Conversão  </a:t>
          </a:r>
        </a:p>
      </xdr:txBody>
    </xdr:sp>
    <xdr:clientData/>
  </xdr:twoCellAnchor>
  <xdr:twoCellAnchor>
    <xdr:from>
      <xdr:col>0</xdr:col>
      <xdr:colOff>28576</xdr:colOff>
      <xdr:row>6</xdr:row>
      <xdr:rowOff>95251</xdr:rowOff>
    </xdr:from>
    <xdr:to>
      <xdr:col>4</xdr:col>
      <xdr:colOff>628651</xdr:colOff>
      <xdr:row>8</xdr:row>
      <xdr:rowOff>142875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D725B35-5196-4923-BC8D-02E218111182}"/>
            </a:ext>
          </a:extLst>
        </xdr:cNvPr>
        <xdr:cNvSpPr/>
      </xdr:nvSpPr>
      <xdr:spPr>
        <a:xfrm>
          <a:off x="28576" y="1495426"/>
          <a:ext cx="3371850" cy="409574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Vazão</a:t>
          </a:r>
          <a:r>
            <a:rPr lang="pt-BR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de Alimentação (mol/s)</a:t>
          </a:r>
          <a:endParaRPr lang="pt-BR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6</xdr:row>
          <xdr:rowOff>123825</xdr:rowOff>
        </xdr:from>
        <xdr:to>
          <xdr:col>4</xdr:col>
          <xdr:colOff>581025</xdr:colOff>
          <xdr:row>8</xdr:row>
          <xdr:rowOff>95250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28575</xdr:colOff>
      <xdr:row>10</xdr:row>
      <xdr:rowOff>66675</xdr:rowOff>
    </xdr:from>
    <xdr:to>
      <xdr:col>4</xdr:col>
      <xdr:colOff>628650</xdr:colOff>
      <xdr:row>12</xdr:row>
      <xdr:rowOff>114299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5352339-57E3-4463-8509-1BDC750B6EC2}"/>
            </a:ext>
          </a:extLst>
        </xdr:cNvPr>
        <xdr:cNvSpPr/>
      </xdr:nvSpPr>
      <xdr:spPr>
        <a:xfrm>
          <a:off x="28575" y="2276475"/>
          <a:ext cx="3371850" cy="409574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Temperatura de entrada (°C)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10</xdr:row>
          <xdr:rowOff>123825</xdr:rowOff>
        </xdr:from>
        <xdr:to>
          <xdr:col>4</xdr:col>
          <xdr:colOff>590550</xdr:colOff>
          <xdr:row>12</xdr:row>
          <xdr:rowOff>85725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28575</xdr:colOff>
      <xdr:row>14</xdr:row>
      <xdr:rowOff>47625</xdr:rowOff>
    </xdr:from>
    <xdr:to>
      <xdr:col>4</xdr:col>
      <xdr:colOff>628650</xdr:colOff>
      <xdr:row>16</xdr:row>
      <xdr:rowOff>95249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00086CE-597F-4277-9E55-87869B6A905D}"/>
            </a:ext>
          </a:extLst>
        </xdr:cNvPr>
        <xdr:cNvSpPr/>
      </xdr:nvSpPr>
      <xdr:spPr>
        <a:xfrm>
          <a:off x="28575" y="3048000"/>
          <a:ext cx="3371850" cy="409574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Temperatura de entrada</a:t>
          </a:r>
          <a:r>
            <a:rPr lang="pt-BR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Ar</a:t>
          </a:r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 (°C)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14</xdr:row>
          <xdr:rowOff>104775</xdr:rowOff>
        </xdr:from>
        <xdr:to>
          <xdr:col>4</xdr:col>
          <xdr:colOff>600075</xdr:colOff>
          <xdr:row>16</xdr:row>
          <xdr:rowOff>66675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38100</xdr:colOff>
      <xdr:row>18</xdr:row>
      <xdr:rowOff>47625</xdr:rowOff>
    </xdr:from>
    <xdr:to>
      <xdr:col>4</xdr:col>
      <xdr:colOff>638175</xdr:colOff>
      <xdr:row>20</xdr:row>
      <xdr:rowOff>95249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221095B0-92EE-475B-A685-E214C7ACB6A1}"/>
            </a:ext>
          </a:extLst>
        </xdr:cNvPr>
        <xdr:cNvSpPr/>
      </xdr:nvSpPr>
      <xdr:spPr>
        <a:xfrm>
          <a:off x="38100" y="3838575"/>
          <a:ext cx="3371850" cy="409574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Temperatura do GC (°C)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18</xdr:row>
          <xdr:rowOff>95250</xdr:rowOff>
        </xdr:from>
        <xdr:to>
          <xdr:col>4</xdr:col>
          <xdr:colOff>590550</xdr:colOff>
          <xdr:row>20</xdr:row>
          <xdr:rowOff>57150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28575</xdr:colOff>
      <xdr:row>22</xdr:row>
      <xdr:rowOff>28574</xdr:rowOff>
    </xdr:from>
    <xdr:to>
      <xdr:col>4</xdr:col>
      <xdr:colOff>628650</xdr:colOff>
      <xdr:row>25</xdr:row>
      <xdr:rowOff>142875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6D770608-593F-4A9E-B1E2-02620EBD8346}"/>
            </a:ext>
          </a:extLst>
        </xdr:cNvPr>
        <xdr:cNvSpPr/>
      </xdr:nvSpPr>
      <xdr:spPr>
        <a:xfrm>
          <a:off x="28575" y="4610099"/>
          <a:ext cx="3371850" cy="657226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Ar  em excesso (%)</a:t>
          </a:r>
        </a:p>
        <a:p>
          <a:pPr algn="ctr"/>
          <a:endParaRPr lang="pt-BR" sz="14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</xdr:col>
      <xdr:colOff>361950</xdr:colOff>
      <xdr:row>2</xdr:row>
      <xdr:rowOff>1</xdr:rowOff>
    </xdr:from>
    <xdr:to>
      <xdr:col>11</xdr:col>
      <xdr:colOff>638175</xdr:colOff>
      <xdr:row>3</xdr:row>
      <xdr:rowOff>228600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446B628F-8A71-4C8A-A0F9-5A46AA452551}"/>
            </a:ext>
          </a:extLst>
        </xdr:cNvPr>
        <xdr:cNvSpPr/>
      </xdr:nvSpPr>
      <xdr:spPr>
        <a:xfrm>
          <a:off x="5876925" y="409576"/>
          <a:ext cx="2333625" cy="466724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aseline="0">
              <a:solidFill>
                <a:schemeClr val="tx1">
                  <a:lumMod val="65000"/>
                  <a:lumOff val="35000"/>
                </a:schemeClr>
              </a:solidFill>
            </a:rPr>
            <a:t>Ar Fornecido</a:t>
          </a:r>
        </a:p>
        <a:p>
          <a:pPr algn="ctr"/>
          <a:endParaRPr lang="pt-BR" sz="20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</xdr:col>
      <xdr:colOff>19050</xdr:colOff>
      <xdr:row>2</xdr:row>
      <xdr:rowOff>0</xdr:rowOff>
    </xdr:from>
    <xdr:to>
      <xdr:col>15</xdr:col>
      <xdr:colOff>266700</xdr:colOff>
      <xdr:row>3</xdr:row>
      <xdr:rowOff>238125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DC2DB62F-A8F5-4D4F-B1E3-DB9717D7C011}"/>
            </a:ext>
          </a:extLst>
        </xdr:cNvPr>
        <xdr:cNvSpPr/>
      </xdr:nvSpPr>
      <xdr:spPr>
        <a:xfrm>
          <a:off x="8277225" y="409575"/>
          <a:ext cx="2305050" cy="476250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aseline="0">
              <a:solidFill>
                <a:schemeClr val="tx1">
                  <a:lumMod val="65000"/>
                  <a:lumOff val="35000"/>
                </a:schemeClr>
              </a:solidFill>
            </a:rPr>
            <a:t>Q Útil(kJ/s)</a:t>
          </a:r>
        </a:p>
        <a:p>
          <a:pPr algn="ctr"/>
          <a:endParaRPr lang="pt-BR" sz="20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15</xdr:col>
      <xdr:colOff>342901</xdr:colOff>
      <xdr:row>2</xdr:row>
      <xdr:rowOff>9525</xdr:rowOff>
    </xdr:from>
    <xdr:to>
      <xdr:col>18</xdr:col>
      <xdr:colOff>419101</xdr:colOff>
      <xdr:row>3</xdr:row>
      <xdr:rowOff>238125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7278D57-3A65-405D-AE3A-E4011F97326B}"/>
            </a:ext>
          </a:extLst>
        </xdr:cNvPr>
        <xdr:cNvSpPr/>
      </xdr:nvSpPr>
      <xdr:spPr>
        <a:xfrm>
          <a:off x="10658476" y="419100"/>
          <a:ext cx="2133600" cy="466725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aseline="0">
              <a:solidFill>
                <a:schemeClr val="tx1">
                  <a:lumMod val="65000"/>
                  <a:lumOff val="35000"/>
                </a:schemeClr>
              </a:solidFill>
            </a:rPr>
            <a:t>Eficiência</a:t>
          </a:r>
        </a:p>
      </xdr:txBody>
    </xdr:sp>
    <xdr:clientData/>
  </xdr:twoCellAnchor>
  <xdr:twoCellAnchor>
    <xdr:from>
      <xdr:col>5</xdr:col>
      <xdr:colOff>171450</xdr:colOff>
      <xdr:row>5</xdr:row>
      <xdr:rowOff>104775</xdr:rowOff>
    </xdr:from>
    <xdr:to>
      <xdr:col>10</xdr:col>
      <xdr:colOff>180975</xdr:colOff>
      <xdr:row>19</xdr:row>
      <xdr:rowOff>165375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233D7B03-0BB5-44B6-89EF-E951E53C6283}"/>
            </a:ext>
          </a:extLst>
        </xdr:cNvPr>
        <xdr:cNvSpPr/>
      </xdr:nvSpPr>
      <xdr:spPr>
        <a:xfrm>
          <a:off x="3629025" y="1276350"/>
          <a:ext cx="3438525" cy="2880000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>
              <a:solidFill>
                <a:schemeClr val="tx1">
                  <a:lumMod val="65000"/>
                  <a:lumOff val="35000"/>
                </a:schemeClr>
              </a:solidFill>
            </a:rPr>
            <a:t>Composição</a:t>
          </a:r>
          <a:r>
            <a:rPr lang="pt-BR" sz="1400" baseline="0">
              <a:solidFill>
                <a:schemeClr val="tx1">
                  <a:lumMod val="65000"/>
                  <a:lumOff val="35000"/>
                </a:schemeClr>
              </a:solidFill>
            </a:rPr>
            <a:t> dos Produtos (mols/s)</a:t>
          </a:r>
          <a:endParaRPr lang="pt-BR" sz="14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5</xdr:col>
      <xdr:colOff>180975</xdr:colOff>
      <xdr:row>20</xdr:row>
      <xdr:rowOff>133351</xdr:rowOff>
    </xdr:from>
    <xdr:to>
      <xdr:col>10</xdr:col>
      <xdr:colOff>180975</xdr:colOff>
      <xdr:row>30</xdr:row>
      <xdr:rowOff>85726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C9DAD248-A4BE-4492-837F-0CC7C937F6AD}"/>
            </a:ext>
          </a:extLst>
        </xdr:cNvPr>
        <xdr:cNvSpPr/>
      </xdr:nvSpPr>
      <xdr:spPr>
        <a:xfrm>
          <a:off x="3638550" y="4371976"/>
          <a:ext cx="3429000" cy="2019300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aseline="0">
              <a:solidFill>
                <a:schemeClr val="tx1">
                  <a:lumMod val="65000"/>
                  <a:lumOff val="35000"/>
                </a:schemeClr>
              </a:solidFill>
            </a:rPr>
            <a:t>Corrente de Alimentação (mols/s)</a:t>
          </a:r>
          <a:endParaRPr lang="pt-BR" sz="14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5</xdr:col>
      <xdr:colOff>209550</xdr:colOff>
      <xdr:row>21</xdr:row>
      <xdr:rowOff>241300</xdr:rowOff>
    </xdr:from>
    <xdr:to>
      <xdr:col>10</xdr:col>
      <xdr:colOff>133350</xdr:colOff>
      <xdr:row>30</xdr:row>
      <xdr:rowOff>28575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A50635F4-7088-45C0-B87E-FC5858842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342900</xdr:colOff>
      <xdr:row>5</xdr:row>
      <xdr:rowOff>104775</xdr:rowOff>
    </xdr:from>
    <xdr:to>
      <xdr:col>18</xdr:col>
      <xdr:colOff>361950</xdr:colOff>
      <xdr:row>19</xdr:row>
      <xdr:rowOff>142875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CF4709A3-CD65-4C0B-9288-00BDC7376E06}"/>
            </a:ext>
          </a:extLst>
        </xdr:cNvPr>
        <xdr:cNvSpPr/>
      </xdr:nvSpPr>
      <xdr:spPr>
        <a:xfrm>
          <a:off x="7229475" y="1323975"/>
          <a:ext cx="5505450" cy="2876550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>
              <a:solidFill>
                <a:schemeClr val="tx1">
                  <a:lumMod val="65000"/>
                  <a:lumOff val="35000"/>
                </a:schemeClr>
              </a:solidFill>
            </a:rPr>
            <a:t>Sensibilidade(calor trocado vs excesso de ar)</a:t>
          </a:r>
        </a:p>
      </xdr:txBody>
    </xdr:sp>
    <xdr:clientData/>
  </xdr:twoCellAnchor>
  <xdr:twoCellAnchor>
    <xdr:from>
      <xdr:col>10</xdr:col>
      <xdr:colOff>323850</xdr:colOff>
      <xdr:row>20</xdr:row>
      <xdr:rowOff>76200</xdr:rowOff>
    </xdr:from>
    <xdr:to>
      <xdr:col>18</xdr:col>
      <xdr:colOff>409575</xdr:colOff>
      <xdr:row>30</xdr:row>
      <xdr:rowOff>114300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77F06C55-D617-450A-BE81-EAD27F97D02F}"/>
            </a:ext>
          </a:extLst>
        </xdr:cNvPr>
        <xdr:cNvSpPr/>
      </xdr:nvSpPr>
      <xdr:spPr>
        <a:xfrm>
          <a:off x="7210425" y="4314825"/>
          <a:ext cx="5572125" cy="2105025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>
              <a:solidFill>
                <a:schemeClr val="tx1">
                  <a:lumMod val="65000"/>
                  <a:lumOff val="35000"/>
                </a:schemeClr>
              </a:solidFill>
            </a:rPr>
            <a:t>Perda de Energia</a:t>
          </a:r>
        </a:p>
      </xdr:txBody>
    </xdr:sp>
    <xdr:clientData/>
  </xdr:twoCellAnchor>
  <xdr:twoCellAnchor>
    <xdr:from>
      <xdr:col>10</xdr:col>
      <xdr:colOff>428624</xdr:colOff>
      <xdr:row>6</xdr:row>
      <xdr:rowOff>133350</xdr:rowOff>
    </xdr:from>
    <xdr:to>
      <xdr:col>18</xdr:col>
      <xdr:colOff>285749</xdr:colOff>
      <xdr:row>19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4F28FE-4C4D-41F0-B459-0B3A49CE19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19050</xdr:rowOff>
        </xdr:from>
        <xdr:to>
          <xdr:col>4</xdr:col>
          <xdr:colOff>552450</xdr:colOff>
          <xdr:row>25</xdr:row>
          <xdr:rowOff>114300</xdr:rowOff>
        </xdr:to>
        <xdr:sp macro="" textlink="">
          <xdr:nvSpPr>
            <xdr:cNvPr id="1047" name="Scroll Bar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444500</xdr:colOff>
      <xdr:row>22</xdr:row>
      <xdr:rowOff>0</xdr:rowOff>
    </xdr:from>
    <xdr:to>
      <xdr:col>14</xdr:col>
      <xdr:colOff>342900</xdr:colOff>
      <xdr:row>34</xdr:row>
      <xdr:rowOff>63499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D0924B1-A9B0-48AD-8ACB-30F7EEACD0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406400</xdr:colOff>
      <xdr:row>21</xdr:row>
      <xdr:rowOff>12700</xdr:rowOff>
    </xdr:from>
    <xdr:to>
      <xdr:col>18</xdr:col>
      <xdr:colOff>355600</xdr:colOff>
      <xdr:row>34</xdr:row>
      <xdr:rowOff>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8FAD8FA0-FAB0-49F1-B8E5-BD816DCDA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19050</xdr:colOff>
      <xdr:row>27</xdr:row>
      <xdr:rowOff>28575</xdr:rowOff>
    </xdr:from>
    <xdr:to>
      <xdr:col>4</xdr:col>
      <xdr:colOff>619125</xdr:colOff>
      <xdr:row>28</xdr:row>
      <xdr:rowOff>190500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808727B0-4E8C-4D25-B3FB-A429E340DFDC}"/>
            </a:ext>
          </a:extLst>
        </xdr:cNvPr>
        <xdr:cNvSpPr/>
      </xdr:nvSpPr>
      <xdr:spPr>
        <a:xfrm>
          <a:off x="19050" y="5605992"/>
          <a:ext cx="3383492" cy="341841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Seletividade</a:t>
          </a:r>
        </a:p>
      </xdr:txBody>
    </xdr:sp>
    <xdr:clientData/>
  </xdr:twoCellAnchor>
  <xdr:twoCellAnchor>
    <xdr:from>
      <xdr:col>2</xdr:col>
      <xdr:colOff>349250</xdr:colOff>
      <xdr:row>4</xdr:row>
      <xdr:rowOff>32810</xdr:rowOff>
    </xdr:from>
    <xdr:to>
      <xdr:col>4</xdr:col>
      <xdr:colOff>649817</xdr:colOff>
      <xdr:row>5</xdr:row>
      <xdr:rowOff>10582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281F2979-E542-40DC-A474-E3335F767C86}"/>
            </a:ext>
          </a:extLst>
        </xdr:cNvPr>
        <xdr:cNvSpPr/>
      </xdr:nvSpPr>
      <xdr:spPr>
        <a:xfrm>
          <a:off x="1756833" y="953560"/>
          <a:ext cx="1676401" cy="284689"/>
        </a:xfrm>
        <a:prstGeom prst="rect">
          <a:avLst/>
        </a:prstGeom>
        <a:solidFill>
          <a:schemeClr val="bg2"/>
        </a:solidFill>
        <a:ln>
          <a:solidFill>
            <a:srgbClr val="36464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Fração</a:t>
          </a:r>
          <a:r>
            <a:rPr lang="pt-BR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Molar</a:t>
          </a:r>
          <a:endParaRPr lang="pt-BR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19050</xdr:rowOff>
        </xdr:from>
        <xdr:to>
          <xdr:col>2</xdr:col>
          <xdr:colOff>304800</xdr:colOff>
          <xdr:row>5</xdr:row>
          <xdr:rowOff>266700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5</xdr:row>
          <xdr:rowOff>38100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56" name="Spinner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</xdr:col>
      <xdr:colOff>104775</xdr:colOff>
      <xdr:row>20</xdr:row>
      <xdr:rowOff>171451</xdr:rowOff>
    </xdr:from>
    <xdr:to>
      <xdr:col>18</xdr:col>
      <xdr:colOff>308168</xdr:colOff>
      <xdr:row>30</xdr:row>
      <xdr:rowOff>9526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2CE14B90-8C63-48DB-92D8-1460808BA7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412749</xdr:colOff>
      <xdr:row>21</xdr:row>
      <xdr:rowOff>232832</xdr:rowOff>
    </xdr:from>
    <xdr:to>
      <xdr:col>14</xdr:col>
      <xdr:colOff>66674</xdr:colOff>
      <xdr:row>30</xdr:row>
      <xdr:rowOff>57149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4C413697-3054-4C1A-AC4F-68F901121D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219075</xdr:colOff>
      <xdr:row>6</xdr:row>
      <xdr:rowOff>142874</xdr:rowOff>
    </xdr:from>
    <xdr:to>
      <xdr:col>10</xdr:col>
      <xdr:colOff>133350</xdr:colOff>
      <xdr:row>19</xdr:row>
      <xdr:rowOff>133349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9F41F73-5123-4D98-8573-3F8A57478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27</xdr:row>
          <xdr:rowOff>57150</xdr:rowOff>
        </xdr:from>
        <xdr:to>
          <xdr:col>4</xdr:col>
          <xdr:colOff>581025</xdr:colOff>
          <xdr:row>28</xdr:row>
          <xdr:rowOff>152400</xdr:rowOff>
        </xdr:to>
        <xdr:sp macro="" textlink="">
          <xdr:nvSpPr>
            <xdr:cNvPr id="1063" name="Spinner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Times New Roman-fonte Arial">
      <a:majorFont>
        <a:latin typeface="Times New Roman" panose="02020603050405020304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6B142-882B-49F0-A755-5CA3CC027E5E}">
  <sheetPr codeName="Planilha4"/>
  <dimension ref="A2:O29"/>
  <sheetViews>
    <sheetView topLeftCell="A6" zoomScale="82" zoomScaleNormal="82" workbookViewId="0">
      <selection activeCell="M12" sqref="M12"/>
    </sheetView>
  </sheetViews>
  <sheetFormatPr defaultRowHeight="14.25" x14ac:dyDescent="0.2"/>
  <cols>
    <col min="1" max="1" width="41.875" bestFit="1" customWidth="1"/>
    <col min="2" max="2" width="11.875" customWidth="1"/>
    <col min="3" max="3" width="9.25" customWidth="1"/>
    <col min="4" max="4" width="12.75" bestFit="1" customWidth="1"/>
    <col min="5" max="5" width="10.625" customWidth="1"/>
    <col min="6" max="6" width="15" customWidth="1"/>
    <col min="7" max="7" width="15.75" customWidth="1"/>
    <col min="8" max="8" width="10.625" bestFit="1" customWidth="1"/>
    <col min="9" max="9" width="12.25" customWidth="1"/>
    <col min="10" max="10" width="10.625" customWidth="1"/>
    <col min="13" max="13" width="15.625" customWidth="1"/>
    <col min="14" max="14" width="12.125" customWidth="1"/>
    <col min="15" max="15" width="16.125" bestFit="1" customWidth="1"/>
  </cols>
  <sheetData>
    <row r="2" spans="1:15" ht="18.75" x14ac:dyDescent="0.2">
      <c r="K2" s="156" t="s">
        <v>3</v>
      </c>
      <c r="L2" s="156"/>
      <c r="M2" s="93" t="s">
        <v>4</v>
      </c>
    </row>
    <row r="6" spans="1:15" ht="18" customHeight="1" x14ac:dyDescent="0.2">
      <c r="A6" s="153" t="s">
        <v>0</v>
      </c>
      <c r="B6" s="154"/>
      <c r="C6" s="154"/>
      <c r="D6" s="154"/>
      <c r="E6" s="154"/>
      <c r="F6" s="154"/>
      <c r="G6" s="155"/>
      <c r="H6" s="12" t="s">
        <v>112</v>
      </c>
      <c r="I6" s="161" t="s">
        <v>107</v>
      </c>
      <c r="J6" s="162"/>
      <c r="K6" s="162"/>
      <c r="L6" s="162"/>
      <c r="M6" s="163"/>
    </row>
    <row r="7" spans="1:15" ht="15.75" thickBot="1" x14ac:dyDescent="0.25">
      <c r="A7" s="179" t="s">
        <v>1</v>
      </c>
      <c r="B7" s="170"/>
      <c r="C7" s="5" t="str">
        <f>Dashboard!$A$4</f>
        <v>CH4</v>
      </c>
      <c r="D7" s="12" t="s">
        <v>96</v>
      </c>
      <c r="E7" s="179" t="s">
        <v>67</v>
      </c>
      <c r="F7" s="170"/>
      <c r="G7" s="6">
        <f>G11/0.21</f>
        <v>1491.4285714285713</v>
      </c>
      <c r="H7" s="7">
        <f>Dashboard!A6/100</f>
        <v>0.9</v>
      </c>
      <c r="I7" s="164"/>
      <c r="J7" s="165"/>
      <c r="K7" s="165"/>
      <c r="L7" s="165"/>
      <c r="M7" s="166"/>
    </row>
    <row r="8" spans="1:15" ht="15" x14ac:dyDescent="0.2">
      <c r="A8" s="156" t="s">
        <v>5</v>
      </c>
      <c r="B8" s="156"/>
      <c r="C8" s="4">
        <f>Dashboard!$A$10</f>
        <v>174</v>
      </c>
      <c r="D8" s="9">
        <f>Dashboard!D6/100</f>
        <v>0.9</v>
      </c>
      <c r="E8" s="179" t="s">
        <v>6</v>
      </c>
      <c r="F8" s="170"/>
      <c r="G8" s="125">
        <f>Dashboard!$A$27</f>
        <v>20</v>
      </c>
      <c r="I8" s="157" t="s">
        <v>7</v>
      </c>
      <c r="J8" s="159" t="s">
        <v>8</v>
      </c>
      <c r="K8" s="160"/>
      <c r="L8" s="159" t="s">
        <v>9</v>
      </c>
      <c r="M8" s="160"/>
    </row>
    <row r="9" spans="1:15" ht="16.5" x14ac:dyDescent="0.2">
      <c r="A9" s="156" t="s">
        <v>10</v>
      </c>
      <c r="B9" s="156"/>
      <c r="C9" s="5">
        <f>Dashboard!$A$14</f>
        <v>25</v>
      </c>
      <c r="D9" s="12" t="s">
        <v>99</v>
      </c>
      <c r="E9" s="167" t="s">
        <v>10</v>
      </c>
      <c r="F9" s="168"/>
      <c r="G9" s="30">
        <f>Dashboard!$A$18</f>
        <v>25</v>
      </c>
      <c r="I9" s="158"/>
      <c r="J9" s="12" t="s">
        <v>11</v>
      </c>
      <c r="K9" s="12" t="s">
        <v>12</v>
      </c>
      <c r="L9" s="12" t="s">
        <v>13</v>
      </c>
      <c r="M9" s="12" t="s">
        <v>14</v>
      </c>
    </row>
    <row r="10" spans="1:15" ht="16.5" x14ac:dyDescent="0.2">
      <c r="A10" s="91" t="s">
        <v>15</v>
      </c>
      <c r="B10" s="7" t="s">
        <v>16</v>
      </c>
      <c r="C10" s="8">
        <f>_xlfn.XLOOKUP(C7, Dados!A3:A12, Dados!E3:E12)</f>
        <v>3.431E-2</v>
      </c>
      <c r="D10" s="2">
        <f>_xlfn.XLOOKUP(C7,Dados!A15:A24, Dados!B15:B24)</f>
        <v>1</v>
      </c>
      <c r="E10" s="172" t="s">
        <v>53</v>
      </c>
      <c r="F10" s="173"/>
      <c r="G10" s="103">
        <f>Dashboard!A30/100</f>
        <v>0.9</v>
      </c>
      <c r="I10" s="2" t="s">
        <v>17</v>
      </c>
      <c r="J10" s="10">
        <f>C8*D8</f>
        <v>156.6</v>
      </c>
      <c r="K10" s="10">
        <f xml:space="preserve"> B15 + C10*(B26 - 298.15) + (C11/2)*(B26^2 - 298.15^2) + (C12/3)*(B26^3 - 298.15^3) + (C13/4)*(B26^4 - 298.15^4)</f>
        <v>-74.8</v>
      </c>
      <c r="L10" s="11">
        <f>J10*(1-H7)</f>
        <v>15.659999999999997</v>
      </c>
      <c r="M10" s="11">
        <f>C10*(G14-25)+(C11/2)*(G14^2-25^2)+(C12/3)*(G14^3-25^3)+(C13/4)*(G14^4-25^4)</f>
        <v>11.889865381510418</v>
      </c>
    </row>
    <row r="11" spans="1:15" ht="16.5" x14ac:dyDescent="0.2">
      <c r="A11" s="91"/>
      <c r="B11" s="7" t="s">
        <v>19</v>
      </c>
      <c r="C11" s="8">
        <f>_xlfn.XLOOKUP(C7, Dados!A3:A12, Dados!F3:F12)</f>
        <v>5.469E-5</v>
      </c>
      <c r="D11" s="12" t="s">
        <v>100</v>
      </c>
      <c r="E11" s="177" t="s">
        <v>102</v>
      </c>
      <c r="F11" s="178"/>
      <c r="G11" s="86">
        <f>J10*(D10+D14/4-D12/2)</f>
        <v>313.2</v>
      </c>
      <c r="I11" s="3" t="s">
        <v>21</v>
      </c>
      <c r="J11" s="11">
        <f>G11*(1+G8/100)</f>
        <v>375.84</v>
      </c>
      <c r="K11" s="11">
        <f>B18*($G$9-25)+(C18/2)*($G$9^2-25^2)+(D18/3)*($G$9^3-25^3)+(E18/4)*($G$9^4-25^4)</f>
        <v>0</v>
      </c>
      <c r="L11" s="10">
        <f>J11-(J10*H7)*((D10*G10+D10*(1-G10)/2)+(D14/4)-(D12/2))</f>
        <v>101.00700000000001</v>
      </c>
      <c r="M11" s="10">
        <f>B18*(G14-25)+(C18/2)*(G14^2-25^2)+(D18/3)*(G14^3-25^3)+(E18/4)*(G14^4-25^4)</f>
        <v>8.4679835428059889</v>
      </c>
    </row>
    <row r="12" spans="1:15" ht="16.5" x14ac:dyDescent="0.2">
      <c r="A12" s="91"/>
      <c r="B12" s="7" t="s">
        <v>22</v>
      </c>
      <c r="C12" s="8">
        <f>_xlfn.XLOOKUP(C7, Dados!A3:A12, Dados!G3:G12)</f>
        <v>3.6610000000000001E-9</v>
      </c>
      <c r="D12" s="2">
        <f>_xlfn.XLOOKUP(C7,Dados!A15:A24, Dados!D15:D24)</f>
        <v>0</v>
      </c>
      <c r="E12" s="169" t="s">
        <v>103</v>
      </c>
      <c r="F12" s="170"/>
      <c r="G12" s="5">
        <f>G7*(1+G8/100)</f>
        <v>1789.7142857142856</v>
      </c>
      <c r="I12" s="2" t="s">
        <v>24</v>
      </c>
      <c r="J12" s="11">
        <f>G12*0.79</f>
        <v>1413.8742857142856</v>
      </c>
      <c r="K12" s="11">
        <f>B19*($G$9-25)+(C19/2)*($G$9^2-25^2)+(D19/3)*($G$9^3-25^3)+(E19/4)*($G$9^4-25^4)</f>
        <v>0</v>
      </c>
      <c r="L12" s="10">
        <f>G12*0.79</f>
        <v>1413.8742857142856</v>
      </c>
      <c r="M12" s="10">
        <f>B19*(G14-25)+(C19/2)*(G14^2-25^2)+(D19/3)*(G14^3-25^3)+(E19/4)*(G14^4-25^4)</f>
        <v>8.1189315105794275</v>
      </c>
    </row>
    <row r="13" spans="1:15" ht="16.5" x14ac:dyDescent="0.2">
      <c r="A13" s="91"/>
      <c r="B13" s="7" t="s">
        <v>25</v>
      </c>
      <c r="C13" s="8">
        <f>_xlfn.XLOOKUP(C7, Dados!A3:A12, Dados!H3:H12)</f>
        <v>-1.1000000000000001E-11</v>
      </c>
      <c r="D13" s="12" t="s">
        <v>101</v>
      </c>
      <c r="E13" s="174" t="s">
        <v>20</v>
      </c>
      <c r="F13" s="175"/>
      <c r="G13" s="176"/>
      <c r="I13" s="22" t="s">
        <v>54</v>
      </c>
      <c r="J13" s="11" t="s">
        <v>18</v>
      </c>
      <c r="K13" s="11" t="s">
        <v>18</v>
      </c>
      <c r="L13" s="10">
        <f>(C8*D8)*D10*G10*H7</f>
        <v>126.846</v>
      </c>
      <c r="M13" s="10">
        <f>F20+B20*(G14-25)+(C20/2)*(G14^2-25^2)+(D20/3)*(G14^3-25^3)+(E20/4)*(G14^4-25^4)</f>
        <v>-381.92269388932289</v>
      </c>
    </row>
    <row r="14" spans="1:15" ht="18.75" x14ac:dyDescent="0.2">
      <c r="A14" s="120" t="s">
        <v>26</v>
      </c>
      <c r="B14" s="7" t="s">
        <v>27</v>
      </c>
      <c r="C14" s="7">
        <f xml:space="preserve"> (D10*G10*F20) + (D10*(1-G10)*F22) + ((D14/2)*F21)-B15</f>
        <v>-774.00000000000011</v>
      </c>
      <c r="D14" s="2">
        <f>_xlfn.XLOOKUP(C7,Dados!A15:A24, Dados!C15:C24)</f>
        <v>4</v>
      </c>
      <c r="E14" s="169" t="s">
        <v>23</v>
      </c>
      <c r="F14" s="170"/>
      <c r="G14" s="5">
        <f>Dashboard!$A$22</f>
        <v>300</v>
      </c>
      <c r="I14" s="23" t="s">
        <v>28</v>
      </c>
      <c r="J14" s="25" t="s">
        <v>18</v>
      </c>
      <c r="K14" s="25" t="s">
        <v>18</v>
      </c>
      <c r="L14" s="26">
        <f>(C8*D8)*(D14/2)*H7</f>
        <v>281.88</v>
      </c>
      <c r="M14" s="26">
        <f>F21+B21*(G14-25)+(C21/2)*(G14^2-25^2)+(D21/3)*(G14^3-25^3)+(E21/4)*(G14^4-25^4)</f>
        <v>-232.22992907828777</v>
      </c>
      <c r="O14" s="124"/>
    </row>
    <row r="15" spans="1:15" ht="15" x14ac:dyDescent="0.25">
      <c r="A15" s="12" t="s">
        <v>29</v>
      </c>
      <c r="B15" s="7">
        <f>_xlfn.XLOOKUP(C7, Dados!A3:A12, Dados!C3:C12)</f>
        <v>-74.8</v>
      </c>
      <c r="I15" s="24" t="s">
        <v>39</v>
      </c>
      <c r="J15" s="27" t="s">
        <v>18</v>
      </c>
      <c r="K15" s="27" t="s">
        <v>18</v>
      </c>
      <c r="L15" s="29">
        <f>(C8*D8)*D10*(1-G10)*H7</f>
        <v>14.093999999999998</v>
      </c>
      <c r="M15" s="28">
        <f>F22+B22*(G14-25)+(C22/2)*(G14^2-25^2)+(D22/3)*(G14^3-25^3)+(E22/4)*(G14^4-25^4)</f>
        <v>-102.32766613736979</v>
      </c>
    </row>
    <row r="16" spans="1:15" ht="15.75" thickBot="1" x14ac:dyDescent="0.25">
      <c r="A16" s="12" t="s">
        <v>104</v>
      </c>
      <c r="B16" s="26">
        <f>M10</f>
        <v>11.889865381510418</v>
      </c>
    </row>
    <row r="17" spans="1:15" ht="15.75" thickBot="1" x14ac:dyDescent="0.25">
      <c r="B17" s="112" t="s">
        <v>16</v>
      </c>
      <c r="C17" s="113" t="s">
        <v>19</v>
      </c>
      <c r="D17" s="113" t="s">
        <v>22</v>
      </c>
      <c r="E17" s="113" t="s">
        <v>25</v>
      </c>
      <c r="F17" s="113" t="s">
        <v>29</v>
      </c>
      <c r="G17" s="114" t="s">
        <v>104</v>
      </c>
    </row>
    <row r="18" spans="1:15" ht="18.75" x14ac:dyDescent="0.2">
      <c r="A18" s="104" t="s">
        <v>32</v>
      </c>
      <c r="B18" s="16">
        <v>2.9100000000000001E-2</v>
      </c>
      <c r="C18" s="17">
        <v>1.1579999999999999E-5</v>
      </c>
      <c r="D18" s="17">
        <v>-6.0760000000000001E-9</v>
      </c>
      <c r="E18" s="69">
        <v>1.311E-12</v>
      </c>
      <c r="F18" s="105">
        <v>0</v>
      </c>
      <c r="G18" s="106">
        <f>M11-F18</f>
        <v>8.4679835428059889</v>
      </c>
      <c r="I18" s="171" t="s">
        <v>30</v>
      </c>
      <c r="J18" s="155"/>
      <c r="K18" s="10">
        <f>C8*D8*H7</f>
        <v>140.94</v>
      </c>
      <c r="L18" s="75" t="s">
        <v>31</v>
      </c>
    </row>
    <row r="19" spans="1:15" ht="18.75" x14ac:dyDescent="0.2">
      <c r="A19" s="107" t="s">
        <v>33</v>
      </c>
      <c r="B19" s="18">
        <v>2.9000000000000001E-2</v>
      </c>
      <c r="C19" s="19">
        <v>2.199E-6</v>
      </c>
      <c r="D19" s="19">
        <v>5.7230000000000002E-9</v>
      </c>
      <c r="E19" s="70">
        <v>-2.8710000000000002E-12</v>
      </c>
      <c r="F19" s="68">
        <v>0</v>
      </c>
      <c r="G19" s="108">
        <f>M12-F19</f>
        <v>8.1189315105794275</v>
      </c>
    </row>
    <row r="20" spans="1:15" ht="18.75" x14ac:dyDescent="0.2">
      <c r="A20" s="107" t="s">
        <v>35</v>
      </c>
      <c r="B20" s="18">
        <v>3.6110000000000003E-2</v>
      </c>
      <c r="C20" s="19">
        <v>4.2330000000000003E-5</v>
      </c>
      <c r="D20" s="19">
        <v>-2.887E-8</v>
      </c>
      <c r="E20" s="70">
        <v>7.4639999999999997E-12</v>
      </c>
      <c r="F20" s="68">
        <v>-393.5</v>
      </c>
      <c r="G20" s="108">
        <f>M13-F20</f>
        <v>11.577306110677114</v>
      </c>
      <c r="I20" s="153" t="s">
        <v>34</v>
      </c>
      <c r="J20" s="154"/>
      <c r="K20" s="155"/>
      <c r="M20" s="153" t="s">
        <v>91</v>
      </c>
      <c r="N20" s="154"/>
      <c r="O20" s="155"/>
    </row>
    <row r="21" spans="1:15" ht="18.75" x14ac:dyDescent="0.2">
      <c r="A21" s="107" t="s">
        <v>38</v>
      </c>
      <c r="B21" s="18">
        <v>3.3459999999999997E-2</v>
      </c>
      <c r="C21" s="19">
        <v>6.8800000000000002E-6</v>
      </c>
      <c r="D21" s="19">
        <v>7.6039999999999998E-9</v>
      </c>
      <c r="E21" s="70">
        <v>-3.5930000000000001E-12</v>
      </c>
      <c r="F21" s="68">
        <v>-241.8</v>
      </c>
      <c r="G21" s="108">
        <f>M14-F21</f>
        <v>9.5700709217122437</v>
      </c>
      <c r="I21" s="13" t="s">
        <v>36</v>
      </c>
      <c r="J21" s="14">
        <f>(L10*M10+L11*M11+L12*M12+L13*M13+L14*M14+L15*M15)
-(J10*K10+J11*K11+J12*K12)
-(J10*K10+J11*K11+J12*K12)</f>
        <v>-79400.515168346552</v>
      </c>
      <c r="K21" s="15" t="s">
        <v>37</v>
      </c>
      <c r="M21" s="13" t="s">
        <v>36</v>
      </c>
      <c r="N21" s="14">
        <f>N25-N27</f>
        <v>92285.563168346547</v>
      </c>
      <c r="O21" s="15" t="s">
        <v>37</v>
      </c>
    </row>
    <row r="22" spans="1:15" ht="15" x14ac:dyDescent="0.2">
      <c r="A22" s="107" t="s">
        <v>39</v>
      </c>
      <c r="B22" s="18">
        <v>2.895E-2</v>
      </c>
      <c r="C22" s="19">
        <v>4.1099999999999996E-6</v>
      </c>
      <c r="D22" s="19">
        <v>3.5480000000000002E-9</v>
      </c>
      <c r="E22" s="70">
        <v>-2.2199999999999998E-12</v>
      </c>
      <c r="F22" s="68">
        <v>-110.5</v>
      </c>
      <c r="G22" s="108">
        <f>M15-F22</f>
        <v>8.1723338626302109</v>
      </c>
      <c r="M22" s="153" t="s">
        <v>106</v>
      </c>
      <c r="N22" s="154"/>
      <c r="O22" s="155"/>
    </row>
    <row r="23" spans="1:15" ht="19.5" thickBot="1" x14ac:dyDescent="0.25">
      <c r="A23" s="109" t="s">
        <v>40</v>
      </c>
      <c r="B23" s="20">
        <v>2.8840000000000001E-2</v>
      </c>
      <c r="C23" s="21">
        <v>7.6500000000000003E-8</v>
      </c>
      <c r="D23" s="21">
        <v>3.2879999999999998E-9</v>
      </c>
      <c r="E23" s="71">
        <v>-8.6979999999999999E-13</v>
      </c>
      <c r="F23" s="110">
        <v>0</v>
      </c>
      <c r="G23" s="111">
        <f t="shared" ref="G23" si="0">M17-F23</f>
        <v>0</v>
      </c>
      <c r="I23" s="153" t="s">
        <v>105</v>
      </c>
      <c r="J23" s="155"/>
      <c r="M23" s="13" t="s">
        <v>36</v>
      </c>
      <c r="N23" s="14">
        <f>(L10*B16+L11*G18+L12*G19 +L13*G20+L14*G21+L15*G22)</f>
        <v>16801.996831653458</v>
      </c>
      <c r="O23" s="15" t="s">
        <v>37</v>
      </c>
    </row>
    <row r="24" spans="1:15" ht="16.5" x14ac:dyDescent="0.2">
      <c r="I24" s="2" t="s">
        <v>17</v>
      </c>
      <c r="J24" s="90">
        <f>((L10*D10)+L13+L15)/(J10*D10)</f>
        <v>1</v>
      </c>
      <c r="M24" s="153" t="s">
        <v>115</v>
      </c>
      <c r="N24" s="154"/>
      <c r="O24" s="155"/>
    </row>
    <row r="25" spans="1:15" ht="16.5" x14ac:dyDescent="0.2">
      <c r="A25" s="107" t="s">
        <v>78</v>
      </c>
      <c r="B25" s="76">
        <f>N21/N25</f>
        <v>0.84597696720273641</v>
      </c>
      <c r="I25" s="3" t="s">
        <v>21</v>
      </c>
      <c r="J25" s="90">
        <f>((2*L13)+L14+L15+(2*L11))/((2*J11)+(J10*D12))</f>
        <v>1.0000000000000002</v>
      </c>
      <c r="M25" s="13" t="s">
        <v>36</v>
      </c>
      <c r="N25" s="14">
        <f xml:space="preserve"> ABS(C14) * K18</f>
        <v>109087.56000000001</v>
      </c>
      <c r="O25" s="15" t="s">
        <v>37</v>
      </c>
    </row>
    <row r="26" spans="1:15" ht="16.5" x14ac:dyDescent="0.2">
      <c r="A26" s="91" t="s">
        <v>114</v>
      </c>
      <c r="B26" s="5">
        <f>C9+273.15</f>
        <v>298.14999999999998</v>
      </c>
      <c r="I26" s="2" t="s">
        <v>24</v>
      </c>
      <c r="J26" s="90">
        <f>J12/L12</f>
        <v>1</v>
      </c>
      <c r="M26" s="153" t="s">
        <v>116</v>
      </c>
      <c r="N26" s="154"/>
      <c r="O26" s="155"/>
    </row>
    <row r="27" spans="1:15" ht="16.5" x14ac:dyDescent="0.2">
      <c r="I27" s="2" t="s">
        <v>28</v>
      </c>
      <c r="J27" s="90">
        <f>((L14*2)+(L10*D14))/(J10*D14)</f>
        <v>1</v>
      </c>
      <c r="M27" s="13" t="s">
        <v>36</v>
      </c>
      <c r="N27" s="14">
        <f xml:space="preserve"> (L13*G20)+(L14*G21)+(L11*G18)+(L12*G19)+(L15*G22)+(L10*B16)</f>
        <v>16801.996831653461</v>
      </c>
      <c r="O27" s="15" t="s">
        <v>37</v>
      </c>
    </row>
    <row r="28" spans="1:15" ht="15" x14ac:dyDescent="0.2">
      <c r="I28" s="2" t="s">
        <v>111</v>
      </c>
      <c r="J28" s="98">
        <f>((J24+J25)-(J26+J27))</f>
        <v>0</v>
      </c>
    </row>
    <row r="29" spans="1:15" x14ac:dyDescent="0.2">
      <c r="D29" s="91"/>
    </row>
  </sheetData>
  <mergeCells count="24">
    <mergeCell ref="I6:M7"/>
    <mergeCell ref="K2:L2"/>
    <mergeCell ref="E9:F9"/>
    <mergeCell ref="E12:F12"/>
    <mergeCell ref="I23:J23"/>
    <mergeCell ref="I18:J18"/>
    <mergeCell ref="I20:K20"/>
    <mergeCell ref="E10:F10"/>
    <mergeCell ref="E13:G13"/>
    <mergeCell ref="E14:F14"/>
    <mergeCell ref="E11:F11"/>
    <mergeCell ref="A6:G6"/>
    <mergeCell ref="A7:B7"/>
    <mergeCell ref="E7:F7"/>
    <mergeCell ref="A8:B8"/>
    <mergeCell ref="E8:F8"/>
    <mergeCell ref="M24:O24"/>
    <mergeCell ref="M26:O26"/>
    <mergeCell ref="A9:B9"/>
    <mergeCell ref="M20:O20"/>
    <mergeCell ref="M22:O22"/>
    <mergeCell ref="I8:I9"/>
    <mergeCell ref="J8:K8"/>
    <mergeCell ref="L8:M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O47"/>
  <sheetViews>
    <sheetView zoomScaleNormal="100" workbookViewId="0">
      <selection activeCell="D7" sqref="D7"/>
    </sheetView>
  </sheetViews>
  <sheetFormatPr defaultRowHeight="14.25" x14ac:dyDescent="0.2"/>
  <cols>
    <col min="2" max="8" width="9.75" customWidth="1"/>
    <col min="12" max="15" width="11.25" customWidth="1"/>
  </cols>
  <sheetData>
    <row r="1" spans="1:15" ht="18.75" customHeight="1" thickBot="1" x14ac:dyDescent="0.25">
      <c r="E1" s="180" t="s">
        <v>41</v>
      </c>
      <c r="F1" s="181"/>
      <c r="G1" s="181"/>
      <c r="H1" s="182"/>
      <c r="L1" s="180" t="s">
        <v>41</v>
      </c>
      <c r="M1" s="181"/>
      <c r="N1" s="181"/>
      <c r="O1" s="182"/>
    </row>
    <row r="2" spans="1:15" ht="18.75" customHeight="1" thickBot="1" x14ac:dyDescent="0.25">
      <c r="A2" s="31" t="s">
        <v>42</v>
      </c>
      <c r="B2" s="31" t="s">
        <v>2</v>
      </c>
      <c r="C2" s="32" t="s">
        <v>29</v>
      </c>
      <c r="D2" s="32" t="s">
        <v>43</v>
      </c>
      <c r="E2" s="33" t="s">
        <v>16</v>
      </c>
      <c r="F2" s="34" t="s">
        <v>44</v>
      </c>
      <c r="G2" s="35" t="s">
        <v>22</v>
      </c>
      <c r="H2" s="36" t="s">
        <v>25</v>
      </c>
      <c r="K2" s="32" t="s">
        <v>29</v>
      </c>
      <c r="L2" s="33" t="s">
        <v>16</v>
      </c>
      <c r="M2" s="35" t="s">
        <v>19</v>
      </c>
      <c r="N2" s="35" t="s">
        <v>22</v>
      </c>
      <c r="O2" s="36" t="s">
        <v>25</v>
      </c>
    </row>
    <row r="3" spans="1:15" ht="18.75" customHeight="1" x14ac:dyDescent="0.2">
      <c r="A3" s="40" t="s">
        <v>45</v>
      </c>
      <c r="B3" s="45">
        <v>1</v>
      </c>
      <c r="C3" s="46">
        <v>-74.8</v>
      </c>
      <c r="D3" s="46">
        <v>-802.34</v>
      </c>
      <c r="E3" s="47">
        <v>3.431E-2</v>
      </c>
      <c r="F3" s="48">
        <v>5.469E-5</v>
      </c>
      <c r="G3" s="48">
        <v>3.6610000000000001E-9</v>
      </c>
      <c r="H3" s="49">
        <v>-1.1000000000000001E-11</v>
      </c>
      <c r="J3" s="43" t="s">
        <v>32</v>
      </c>
      <c r="K3" s="58">
        <v>0</v>
      </c>
      <c r="L3" s="59">
        <v>2.9100000000000001E-2</v>
      </c>
      <c r="M3" s="48">
        <v>1.1579999999999999E-5</v>
      </c>
      <c r="N3" s="48">
        <v>-6.0760000000000001E-9</v>
      </c>
      <c r="O3" s="49">
        <v>1.311E-12</v>
      </c>
    </row>
    <row r="4" spans="1:15" ht="18.75" customHeight="1" x14ac:dyDescent="0.2">
      <c r="A4" s="41" t="s">
        <v>46</v>
      </c>
      <c r="B4" s="50">
        <v>2</v>
      </c>
      <c r="C4" s="51">
        <v>-84.7</v>
      </c>
      <c r="D4" s="51">
        <v>-1427.87</v>
      </c>
      <c r="E4" s="52">
        <v>4.9369999999999997E-2</v>
      </c>
      <c r="F4" s="53">
        <v>1.392E-4</v>
      </c>
      <c r="G4" s="53">
        <v>-5.8159999999999999E-8</v>
      </c>
      <c r="H4" s="54">
        <v>7.2799999999999997E-12</v>
      </c>
      <c r="J4" s="37" t="s">
        <v>33</v>
      </c>
      <c r="K4" s="60">
        <v>0</v>
      </c>
      <c r="L4" s="61">
        <v>2.9000000000000001E-2</v>
      </c>
      <c r="M4" s="53">
        <v>2.199E-6</v>
      </c>
      <c r="N4" s="53">
        <v>5.7230000000000002E-9</v>
      </c>
      <c r="O4" s="54">
        <v>-2.8710000000000002E-12</v>
      </c>
    </row>
    <row r="5" spans="1:15" ht="18.75" customHeight="1" x14ac:dyDescent="0.2">
      <c r="A5" s="41" t="s">
        <v>47</v>
      </c>
      <c r="B5" s="50">
        <v>3</v>
      </c>
      <c r="C5" s="51">
        <v>-103.8</v>
      </c>
      <c r="D5" s="51">
        <v>-2043.96</v>
      </c>
      <c r="E5" s="52">
        <v>6.8031999999999995E-2</v>
      </c>
      <c r="F5" s="53">
        <v>2.2589999999999999E-4</v>
      </c>
      <c r="G5" s="53">
        <v>-1.311E-7</v>
      </c>
      <c r="H5" s="54">
        <v>3.171E-11</v>
      </c>
      <c r="J5" s="37" t="s">
        <v>35</v>
      </c>
      <c r="K5" s="60">
        <v>-393.5</v>
      </c>
      <c r="L5" s="61">
        <v>3.6110000000000003E-2</v>
      </c>
      <c r="M5" s="53">
        <v>4.2330000000000003E-5</v>
      </c>
      <c r="N5" s="53">
        <v>-2.887E-8</v>
      </c>
      <c r="O5" s="54">
        <v>7.4639999999999997E-12</v>
      </c>
    </row>
    <row r="6" spans="1:15" ht="18.75" customHeight="1" x14ac:dyDescent="0.2">
      <c r="A6" s="41" t="s">
        <v>48</v>
      </c>
      <c r="B6" s="50">
        <v>4</v>
      </c>
      <c r="C6" s="51">
        <v>-125.7</v>
      </c>
      <c r="D6" s="51">
        <v>-2658.45</v>
      </c>
      <c r="E6" s="52">
        <v>9.2299999999999993E-2</v>
      </c>
      <c r="F6" s="53">
        <v>2.788E-4</v>
      </c>
      <c r="G6" s="53">
        <v>-1.547E-7</v>
      </c>
      <c r="H6" s="54">
        <v>3.4979999999999998E-11</v>
      </c>
      <c r="J6" s="37" t="s">
        <v>38</v>
      </c>
      <c r="K6" s="60">
        <v>-241.8</v>
      </c>
      <c r="L6" s="61">
        <v>3.3459999999999997E-2</v>
      </c>
      <c r="M6" s="53">
        <v>6.8800000000000002E-6</v>
      </c>
      <c r="N6" s="53">
        <v>7.6039999999999998E-9</v>
      </c>
      <c r="O6" s="54">
        <v>-3.5930000000000001E-12</v>
      </c>
    </row>
    <row r="7" spans="1:15" ht="18.75" customHeight="1" x14ac:dyDescent="0.2">
      <c r="A7" s="41" t="s">
        <v>49</v>
      </c>
      <c r="B7" s="50">
        <v>5</v>
      </c>
      <c r="C7" s="51">
        <v>-146.4</v>
      </c>
      <c r="D7" s="51">
        <v>-3272.04</v>
      </c>
      <c r="E7" s="52">
        <v>0.1148</v>
      </c>
      <c r="F7" s="53">
        <v>3.4089999999999999E-4</v>
      </c>
      <c r="G7" s="53">
        <v>-1.899E-7</v>
      </c>
      <c r="H7" s="54">
        <v>4.2259999999999998E-11</v>
      </c>
      <c r="J7" s="37" t="s">
        <v>39</v>
      </c>
      <c r="K7" s="60">
        <v>-110.5</v>
      </c>
      <c r="L7" s="61">
        <v>2.895E-2</v>
      </c>
      <c r="M7" s="53">
        <v>4.1099999999999996E-6</v>
      </c>
      <c r="N7" s="53">
        <v>3.5480000000000002E-9</v>
      </c>
      <c r="O7" s="54">
        <v>-2.2199999999999998E-12</v>
      </c>
    </row>
    <row r="8" spans="1:15" ht="18.75" customHeight="1" thickBot="1" x14ac:dyDescent="0.25">
      <c r="A8" s="42" t="s">
        <v>50</v>
      </c>
      <c r="B8" s="50">
        <v>6</v>
      </c>
      <c r="C8" s="51">
        <v>-167.2</v>
      </c>
      <c r="D8" s="55">
        <v>-3886.73</v>
      </c>
      <c r="E8" s="52">
        <v>0.13744000000000001</v>
      </c>
      <c r="F8" s="53">
        <v>4.0850000000000001E-4</v>
      </c>
      <c r="G8" s="53">
        <v>-2.3920000000000002E-7</v>
      </c>
      <c r="H8" s="54">
        <v>5.7659999999999998E-11</v>
      </c>
      <c r="J8" s="44" t="s">
        <v>40</v>
      </c>
      <c r="K8" s="62">
        <v>0</v>
      </c>
      <c r="L8" s="63">
        <v>2.8840000000000001E-2</v>
      </c>
      <c r="M8" s="56">
        <v>7.6500000000000003E-8</v>
      </c>
      <c r="N8" s="56">
        <v>3.2879999999999998E-9</v>
      </c>
      <c r="O8" s="57">
        <v>-8.6979999999999999E-13</v>
      </c>
    </row>
    <row r="9" spans="1:15" ht="18.75" customHeight="1" thickBot="1" x14ac:dyDescent="0.25">
      <c r="A9" s="42" t="s">
        <v>55</v>
      </c>
      <c r="B9" s="50">
        <v>2</v>
      </c>
      <c r="C9" s="51">
        <v>226.7</v>
      </c>
      <c r="D9" s="51">
        <v>-1257.0899999999999</v>
      </c>
      <c r="E9" s="52">
        <v>4.2299999999999997E-2</v>
      </c>
      <c r="F9" s="53">
        <v>4.3900000000000003E-5</v>
      </c>
      <c r="G9" s="53">
        <v>-3.0199999999999999E-8</v>
      </c>
      <c r="H9" s="54">
        <v>9.0700000000000007E-12</v>
      </c>
    </row>
    <row r="10" spans="1:15" ht="18.75" customHeight="1" x14ac:dyDescent="0.2">
      <c r="A10" s="40" t="s">
        <v>56</v>
      </c>
      <c r="B10" s="50">
        <v>1</v>
      </c>
      <c r="C10" s="51">
        <v>-201.2</v>
      </c>
      <c r="D10" s="51">
        <v>-588.48</v>
      </c>
      <c r="E10" s="52">
        <v>4.2900000000000001E-2</v>
      </c>
      <c r="F10" s="53">
        <v>7.6000000000000004E-5</v>
      </c>
      <c r="G10" s="53">
        <v>-2.9300000000000001E-8</v>
      </c>
      <c r="H10" s="54">
        <v>4.1800000000000004E-12</v>
      </c>
      <c r="K10" s="183" t="s">
        <v>51</v>
      </c>
      <c r="L10" s="184"/>
      <c r="M10" s="184"/>
      <c r="N10" s="184"/>
      <c r="O10" s="185"/>
    </row>
    <row r="11" spans="1:15" ht="18.75" customHeight="1" x14ac:dyDescent="0.2">
      <c r="A11" s="41" t="s">
        <v>57</v>
      </c>
      <c r="B11" s="50">
        <v>2</v>
      </c>
      <c r="C11" s="51">
        <v>-234.8</v>
      </c>
      <c r="D11" s="51">
        <v>-1145.27</v>
      </c>
      <c r="E11" s="52">
        <v>6.13E-2</v>
      </c>
      <c r="F11" s="53">
        <v>1.5699999999999999E-4</v>
      </c>
      <c r="G11" s="53">
        <v>-8.7400000000000002E-8</v>
      </c>
      <c r="H11" s="54">
        <v>1.9799999999999999E-11</v>
      </c>
      <c r="K11" s="37" t="s">
        <v>52</v>
      </c>
      <c r="L11" s="38" t="s">
        <v>32</v>
      </c>
      <c r="M11" s="38" t="s">
        <v>33</v>
      </c>
      <c r="N11" s="38" t="s">
        <v>35</v>
      </c>
      <c r="O11" s="39" t="s">
        <v>38</v>
      </c>
    </row>
    <row r="12" spans="1:15" ht="18.75" customHeight="1" x14ac:dyDescent="0.2">
      <c r="A12" s="41" t="s">
        <v>58</v>
      </c>
      <c r="B12" s="50">
        <v>4</v>
      </c>
      <c r="C12" s="51">
        <v>-134.19999999999999</v>
      </c>
      <c r="D12" s="51">
        <v>-2648.15</v>
      </c>
      <c r="E12" s="52">
        <v>9.0399999999999994E-2</v>
      </c>
      <c r="F12" s="53">
        <v>2.8499999999999999E-4</v>
      </c>
      <c r="G12" s="53">
        <v>-1.6500000000000001E-7</v>
      </c>
      <c r="H12" s="54">
        <v>3.8500000000000003E-11</v>
      </c>
      <c r="K12" s="37">
        <v>0</v>
      </c>
      <c r="L12" s="64">
        <v>-0.73</v>
      </c>
      <c r="M12" s="64">
        <v>-0.73</v>
      </c>
      <c r="N12" s="64">
        <v>-0.92</v>
      </c>
      <c r="O12" s="65">
        <v>-0.84</v>
      </c>
    </row>
    <row r="13" spans="1:15" ht="18.75" customHeight="1" thickBot="1" x14ac:dyDescent="0.25">
      <c r="H13" s="1"/>
      <c r="K13" s="37">
        <v>25</v>
      </c>
      <c r="L13" s="64">
        <v>0</v>
      </c>
      <c r="M13" s="64">
        <v>0</v>
      </c>
      <c r="N13" s="64">
        <v>0</v>
      </c>
      <c r="O13" s="65">
        <v>0</v>
      </c>
    </row>
    <row r="14" spans="1:15" ht="18.75" customHeight="1" thickBot="1" x14ac:dyDescent="0.25">
      <c r="A14" s="31" t="s">
        <v>42</v>
      </c>
      <c r="B14" s="31" t="s">
        <v>2</v>
      </c>
      <c r="C14" s="31" t="s">
        <v>97</v>
      </c>
      <c r="D14" s="31" t="s">
        <v>98</v>
      </c>
      <c r="H14" s="1"/>
      <c r="K14" s="37">
        <v>100</v>
      </c>
      <c r="L14" s="64">
        <v>2.2400000000000002</v>
      </c>
      <c r="M14" s="64">
        <v>2.19</v>
      </c>
      <c r="N14" s="64">
        <v>2.9</v>
      </c>
      <c r="O14" s="65">
        <v>2.54</v>
      </c>
    </row>
    <row r="15" spans="1:15" ht="18.75" customHeight="1" thickBot="1" x14ac:dyDescent="0.25">
      <c r="A15" s="40" t="s">
        <v>45</v>
      </c>
      <c r="B15" s="45">
        <v>1</v>
      </c>
      <c r="C15" s="31">
        <v>4</v>
      </c>
      <c r="D15" s="31">
        <v>0</v>
      </c>
      <c r="H15" s="1"/>
      <c r="K15" s="37">
        <v>200</v>
      </c>
      <c r="L15" s="64">
        <v>5.31</v>
      </c>
      <c r="M15" s="64">
        <v>5.13</v>
      </c>
      <c r="N15" s="64">
        <v>7.08</v>
      </c>
      <c r="O15" s="65">
        <v>6.01</v>
      </c>
    </row>
    <row r="16" spans="1:15" ht="18.75" customHeight="1" thickBot="1" x14ac:dyDescent="0.25">
      <c r="A16" s="41" t="s">
        <v>46</v>
      </c>
      <c r="B16" s="50">
        <v>2</v>
      </c>
      <c r="C16" s="31">
        <v>6</v>
      </c>
      <c r="D16" s="31">
        <v>0</v>
      </c>
      <c r="H16" s="1"/>
      <c r="K16" s="37">
        <v>300</v>
      </c>
      <c r="L16" s="64">
        <v>8.4700000000000006</v>
      </c>
      <c r="M16" s="64">
        <v>8.1199999999999992</v>
      </c>
      <c r="N16" s="64">
        <v>11.58</v>
      </c>
      <c r="O16" s="65">
        <v>9.57</v>
      </c>
    </row>
    <row r="17" spans="1:15" ht="18.75" customHeight="1" thickBot="1" x14ac:dyDescent="0.25">
      <c r="A17" s="41" t="s">
        <v>47</v>
      </c>
      <c r="B17" s="50">
        <v>3</v>
      </c>
      <c r="C17" s="31">
        <v>8</v>
      </c>
      <c r="D17" s="31">
        <v>0</v>
      </c>
      <c r="H17" s="1"/>
      <c r="K17" s="37">
        <v>400</v>
      </c>
      <c r="L17" s="64">
        <v>11.72</v>
      </c>
      <c r="M17" s="64">
        <v>11.15</v>
      </c>
      <c r="N17" s="64">
        <v>16.350000000000001</v>
      </c>
      <c r="O17" s="65">
        <v>13.23</v>
      </c>
    </row>
    <row r="18" spans="1:15" ht="18.75" customHeight="1" thickBot="1" x14ac:dyDescent="0.25">
      <c r="A18" s="41" t="s">
        <v>48</v>
      </c>
      <c r="B18" s="50">
        <v>4</v>
      </c>
      <c r="C18" s="31">
        <v>10</v>
      </c>
      <c r="D18" s="31">
        <v>0</v>
      </c>
      <c r="H18" s="1"/>
      <c r="K18" s="37">
        <v>500</v>
      </c>
      <c r="L18" s="64">
        <v>15.03</v>
      </c>
      <c r="M18" s="64">
        <v>14.24</v>
      </c>
      <c r="N18" s="64">
        <v>21.34</v>
      </c>
      <c r="O18" s="65">
        <v>17.010000000000002</v>
      </c>
    </row>
    <row r="19" spans="1:15" ht="18.75" customHeight="1" thickBot="1" x14ac:dyDescent="0.25">
      <c r="A19" s="41" t="s">
        <v>49</v>
      </c>
      <c r="B19" s="50">
        <v>5</v>
      </c>
      <c r="C19" s="31">
        <v>12</v>
      </c>
      <c r="D19" s="31">
        <v>0</v>
      </c>
      <c r="H19" s="1"/>
      <c r="K19" s="37">
        <v>600</v>
      </c>
      <c r="L19" s="64">
        <v>18.41</v>
      </c>
      <c r="M19" s="64">
        <v>17.39</v>
      </c>
      <c r="N19" s="64">
        <v>26.53</v>
      </c>
      <c r="O19" s="65">
        <v>20.91</v>
      </c>
    </row>
    <row r="20" spans="1:15" ht="18.75" customHeight="1" thickBot="1" x14ac:dyDescent="0.25">
      <c r="A20" s="42" t="s">
        <v>50</v>
      </c>
      <c r="B20" s="50">
        <v>6</v>
      </c>
      <c r="C20" s="31">
        <v>14</v>
      </c>
      <c r="D20" s="31">
        <v>0</v>
      </c>
      <c r="H20" s="1"/>
      <c r="K20" s="37">
        <v>700</v>
      </c>
      <c r="L20" s="64">
        <v>21.86</v>
      </c>
      <c r="M20" s="64">
        <v>20.59</v>
      </c>
      <c r="N20" s="64">
        <v>31.88</v>
      </c>
      <c r="O20" s="65">
        <v>24.92</v>
      </c>
    </row>
    <row r="21" spans="1:15" ht="18.75" customHeight="1" thickBot="1" x14ac:dyDescent="0.25">
      <c r="A21" s="42" t="s">
        <v>55</v>
      </c>
      <c r="B21" s="50">
        <v>2</v>
      </c>
      <c r="C21" s="31">
        <v>2</v>
      </c>
      <c r="D21" s="31">
        <v>0</v>
      </c>
      <c r="H21" s="1"/>
      <c r="K21" s="37">
        <v>800</v>
      </c>
      <c r="L21" s="64">
        <v>25.35</v>
      </c>
      <c r="M21" s="64">
        <v>23.86</v>
      </c>
      <c r="N21" s="64">
        <v>37.36</v>
      </c>
      <c r="O21" s="65">
        <v>29.05</v>
      </c>
    </row>
    <row r="22" spans="1:15" ht="18.75" customHeight="1" thickBot="1" x14ac:dyDescent="0.25">
      <c r="A22" s="40" t="s">
        <v>56</v>
      </c>
      <c r="B22" s="50">
        <v>1</v>
      </c>
      <c r="C22" s="31">
        <v>4</v>
      </c>
      <c r="D22" s="31">
        <v>1</v>
      </c>
      <c r="H22" s="1"/>
      <c r="K22" s="37">
        <v>900</v>
      </c>
      <c r="L22" s="64">
        <v>28.89</v>
      </c>
      <c r="M22" s="64">
        <v>27.19</v>
      </c>
      <c r="N22" s="64">
        <v>42.94</v>
      </c>
      <c r="O22" s="65">
        <v>33.32</v>
      </c>
    </row>
    <row r="23" spans="1:15" ht="18.75" customHeight="1" thickBot="1" x14ac:dyDescent="0.25">
      <c r="A23" s="41" t="s">
        <v>57</v>
      </c>
      <c r="B23" s="50">
        <v>2</v>
      </c>
      <c r="C23" s="31">
        <v>6</v>
      </c>
      <c r="D23" s="31">
        <v>1</v>
      </c>
      <c r="H23" s="1"/>
      <c r="K23" s="37">
        <v>1000</v>
      </c>
      <c r="L23" s="64">
        <v>32.47</v>
      </c>
      <c r="M23" s="64">
        <v>30.56</v>
      </c>
      <c r="N23" s="64">
        <v>48.6</v>
      </c>
      <c r="O23" s="65">
        <v>37.69</v>
      </c>
    </row>
    <row r="24" spans="1:15" ht="18.75" customHeight="1" x14ac:dyDescent="0.2">
      <c r="A24" s="41" t="s">
        <v>58</v>
      </c>
      <c r="B24" s="50">
        <v>4</v>
      </c>
      <c r="C24" s="31">
        <v>10</v>
      </c>
      <c r="D24" s="31">
        <v>0</v>
      </c>
      <c r="H24" s="1"/>
      <c r="K24" s="37">
        <v>1100</v>
      </c>
      <c r="L24" s="64">
        <v>36.07</v>
      </c>
      <c r="M24" s="64">
        <v>33.99</v>
      </c>
      <c r="N24" s="64">
        <v>54.33</v>
      </c>
      <c r="O24" s="65">
        <v>42.78</v>
      </c>
    </row>
    <row r="25" spans="1:15" ht="18.75" customHeight="1" x14ac:dyDescent="0.2">
      <c r="H25" s="1"/>
      <c r="K25" s="37">
        <v>1200</v>
      </c>
      <c r="L25" s="64">
        <v>39.700000000000003</v>
      </c>
      <c r="M25" s="64">
        <v>37.46</v>
      </c>
      <c r="N25" s="64">
        <v>60.14</v>
      </c>
      <c r="O25" s="65">
        <v>46.78</v>
      </c>
    </row>
    <row r="26" spans="1:15" ht="18.75" customHeight="1" thickBot="1" x14ac:dyDescent="0.25">
      <c r="H26" s="1"/>
      <c r="K26" s="44">
        <v>1300</v>
      </c>
      <c r="L26" s="66">
        <v>43.38</v>
      </c>
      <c r="M26" s="66">
        <v>40.97</v>
      </c>
      <c r="N26" s="66">
        <v>65.98</v>
      </c>
      <c r="O26" s="67">
        <v>51.47</v>
      </c>
    </row>
    <row r="27" spans="1:15" ht="18.75" customHeight="1" x14ac:dyDescent="0.2">
      <c r="H27" s="1"/>
    </row>
    <row r="28" spans="1:15" ht="18.75" customHeight="1" x14ac:dyDescent="0.2">
      <c r="H28" s="1"/>
    </row>
    <row r="29" spans="1:15" x14ac:dyDescent="0.2">
      <c r="B29" s="1"/>
      <c r="C29" s="1"/>
      <c r="D29" s="1"/>
      <c r="E29" s="1"/>
      <c r="F29" s="1"/>
      <c r="G29" s="1"/>
      <c r="H29" s="1"/>
    </row>
    <row r="30" spans="1:15" x14ac:dyDescent="0.2">
      <c r="B30" s="1"/>
      <c r="C30" s="1"/>
      <c r="D30" s="1"/>
      <c r="E30" s="1"/>
      <c r="F30" s="1"/>
      <c r="G30" s="1"/>
      <c r="H30" s="1"/>
    </row>
    <row r="31" spans="1:15" x14ac:dyDescent="0.2">
      <c r="B31" s="1"/>
      <c r="C31" s="1"/>
      <c r="D31" s="1"/>
      <c r="E31" s="1"/>
      <c r="F31" s="1"/>
      <c r="G31" s="1"/>
      <c r="H31" s="1"/>
    </row>
    <row r="32" spans="1:15" x14ac:dyDescent="0.2">
      <c r="B32" s="1"/>
      <c r="C32" s="1"/>
      <c r="D32" s="1"/>
      <c r="E32" s="1"/>
      <c r="F32" s="1"/>
      <c r="G32" s="1"/>
      <c r="H32" s="1"/>
    </row>
    <row r="33" spans="2:8" x14ac:dyDescent="0.2">
      <c r="B33" s="1"/>
      <c r="C33" s="1"/>
      <c r="D33" s="1"/>
      <c r="E33" s="1"/>
      <c r="F33" s="1"/>
      <c r="G33" s="1"/>
      <c r="H33" s="1"/>
    </row>
    <row r="34" spans="2:8" x14ac:dyDescent="0.2">
      <c r="B34" s="1"/>
      <c r="C34" s="1"/>
      <c r="D34" s="1"/>
      <c r="E34" s="1"/>
      <c r="F34" s="1"/>
      <c r="G34" s="1"/>
      <c r="H34" s="1"/>
    </row>
    <row r="35" spans="2:8" x14ac:dyDescent="0.2">
      <c r="B35" s="1"/>
      <c r="C35" s="1"/>
      <c r="D35" s="1"/>
      <c r="E35" s="1"/>
      <c r="F35" s="1"/>
      <c r="G35" s="1"/>
      <c r="H35" s="1"/>
    </row>
    <row r="36" spans="2:8" x14ac:dyDescent="0.2">
      <c r="B36" s="1"/>
      <c r="C36" s="1"/>
      <c r="D36" s="1"/>
      <c r="E36" s="1"/>
      <c r="F36" s="1"/>
      <c r="G36" s="1"/>
      <c r="H36" s="1"/>
    </row>
    <row r="37" spans="2:8" x14ac:dyDescent="0.2">
      <c r="B37" s="1"/>
      <c r="C37" s="1"/>
      <c r="D37" s="1"/>
      <c r="E37" s="1"/>
      <c r="F37" s="1"/>
      <c r="G37" s="1"/>
      <c r="H37" s="1"/>
    </row>
    <row r="38" spans="2:8" x14ac:dyDescent="0.2">
      <c r="B38" s="1"/>
      <c r="C38" s="1"/>
      <c r="D38" s="1"/>
      <c r="E38" s="1"/>
      <c r="F38" s="1"/>
      <c r="G38" s="1"/>
      <c r="H38" s="1"/>
    </row>
    <row r="39" spans="2:8" x14ac:dyDescent="0.2">
      <c r="B39" s="1"/>
      <c r="C39" s="1"/>
      <c r="D39" s="1"/>
      <c r="E39" s="1"/>
      <c r="F39" s="1"/>
      <c r="G39" s="1"/>
      <c r="H39" s="1"/>
    </row>
    <row r="40" spans="2:8" x14ac:dyDescent="0.2">
      <c r="B40" s="1"/>
      <c r="C40" s="1"/>
      <c r="D40" s="1"/>
      <c r="E40" s="1"/>
      <c r="F40" s="1"/>
      <c r="G40" s="1"/>
      <c r="H40" s="1"/>
    </row>
    <row r="41" spans="2:8" x14ac:dyDescent="0.2">
      <c r="B41" s="1"/>
      <c r="C41" s="1"/>
      <c r="D41" s="1"/>
      <c r="E41" s="1"/>
      <c r="F41" s="1"/>
      <c r="G41" s="1"/>
      <c r="H41" s="1"/>
    </row>
    <row r="42" spans="2:8" x14ac:dyDescent="0.2">
      <c r="B42" s="1"/>
      <c r="C42" s="1"/>
      <c r="D42" s="1"/>
      <c r="E42" s="1"/>
      <c r="F42" s="1"/>
      <c r="G42" s="1"/>
      <c r="H42" s="1"/>
    </row>
    <row r="43" spans="2:8" x14ac:dyDescent="0.2">
      <c r="B43" s="1"/>
      <c r="C43" s="1"/>
      <c r="D43" s="1"/>
      <c r="E43" s="1"/>
      <c r="F43" s="1"/>
      <c r="G43" s="1"/>
      <c r="H43" s="1"/>
    </row>
    <row r="44" spans="2:8" x14ac:dyDescent="0.2">
      <c r="B44" s="1"/>
      <c r="C44" s="1"/>
      <c r="D44" s="1"/>
      <c r="E44" s="1"/>
      <c r="F44" s="1"/>
      <c r="G44" s="1"/>
      <c r="H44" s="1"/>
    </row>
    <row r="45" spans="2:8" x14ac:dyDescent="0.2">
      <c r="B45" s="1"/>
      <c r="C45" s="1"/>
      <c r="D45" s="1"/>
      <c r="E45" s="1"/>
      <c r="F45" s="1"/>
      <c r="G45" s="1"/>
      <c r="H45" s="1"/>
    </row>
    <row r="46" spans="2:8" x14ac:dyDescent="0.2">
      <c r="B46" s="1"/>
      <c r="C46" s="1"/>
      <c r="D46" s="1"/>
      <c r="E46" s="1"/>
      <c r="F46" s="1"/>
      <c r="G46" s="1"/>
      <c r="H46" s="1"/>
    </row>
    <row r="47" spans="2:8" x14ac:dyDescent="0.2">
      <c r="B47" s="1"/>
      <c r="C47" s="1"/>
      <c r="D47" s="1"/>
      <c r="E47" s="1"/>
      <c r="F47" s="1"/>
      <c r="G47" s="1"/>
      <c r="H47" s="1"/>
    </row>
  </sheetData>
  <mergeCells count="3">
    <mergeCell ref="E1:H1"/>
    <mergeCell ref="L1:O1"/>
    <mergeCell ref="K10:O10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03A3-2E69-47D7-84DC-8CE9248B782D}">
  <sheetPr codeName="Planilha5"/>
  <dimension ref="A2:K33"/>
  <sheetViews>
    <sheetView zoomScale="87" zoomScaleNormal="87" workbookViewId="0">
      <selection activeCell="G6" sqref="G6"/>
    </sheetView>
  </sheetViews>
  <sheetFormatPr defaultRowHeight="14.25" x14ac:dyDescent="0.2"/>
  <cols>
    <col min="1" max="1" width="31.25" bestFit="1" customWidth="1"/>
    <col min="2" max="2" width="69.375" customWidth="1"/>
    <col min="3" max="3" width="22.625" bestFit="1" customWidth="1"/>
    <col min="5" max="5" width="26.5" bestFit="1" customWidth="1"/>
    <col min="6" max="6" width="23.75" customWidth="1"/>
    <col min="7" max="7" width="20" bestFit="1" customWidth="1"/>
    <col min="8" max="8" width="10" bestFit="1" customWidth="1"/>
    <col min="10" max="10" width="18.75" bestFit="1" customWidth="1"/>
    <col min="11" max="11" width="18.125" bestFit="1" customWidth="1"/>
  </cols>
  <sheetData>
    <row r="2" spans="2:11" ht="17.25" thickBot="1" x14ac:dyDescent="0.3">
      <c r="B2" s="74" t="s">
        <v>59</v>
      </c>
      <c r="C2" s="73"/>
      <c r="D2" s="74" t="s">
        <v>62</v>
      </c>
      <c r="E2" s="73"/>
      <c r="F2" s="191"/>
      <c r="G2" s="191"/>
      <c r="J2" s="186" t="s">
        <v>90</v>
      </c>
      <c r="K2" s="186"/>
    </row>
    <row r="3" spans="2:11" ht="15.75" thickTop="1" x14ac:dyDescent="0.25">
      <c r="B3" s="72" t="s">
        <v>60</v>
      </c>
      <c r="F3" s="189" t="s">
        <v>94</v>
      </c>
      <c r="G3" s="190"/>
      <c r="J3" s="78" t="s">
        <v>89</v>
      </c>
      <c r="K3" s="78" t="s">
        <v>117</v>
      </c>
    </row>
    <row r="4" spans="2:11" ht="17.25" customHeight="1" x14ac:dyDescent="0.2">
      <c r="F4" s="92" t="s">
        <v>95</v>
      </c>
      <c r="G4" s="92" t="s">
        <v>113</v>
      </c>
      <c r="J4" s="123">
        <v>0</v>
      </c>
      <c r="K4" s="95">
        <f xml:space="preserve"> (COMBUSTÃO!$K$18 * COMBUSTÃO!$C$14)
  + ( (100 * 2 * (1 + J4) - 200) * COMBUSTÃO!$M$11 )
  + ( (100 * 2 * (1 + J4) * (79 / 21)) * COMBUSTÃO!$M$12 )
  + (COMBUSTÃO!$L$13 * COMBUSTÃO!$M$13)
  + (COMBUSTÃO!$L$14 * COMBUSTÃO!$M$14)
  + (COMBUSTÃO!$L$15 * COMBUSTÃO!$M$15)
  - (COMBUSTÃO!$J$10 * COMBUSTÃO!$K$10)
  - ( (100 * 2 * (1 + J4)) * COMBUSTÃO!$K$11 )
  - ( (100 * 2 * (1 + J4) * (79 / 21)) * COMBUSTÃO!$K$12 )</f>
        <v>-206613.89514196746</v>
      </c>
    </row>
    <row r="5" spans="2:11" ht="18" thickBot="1" x14ac:dyDescent="0.3">
      <c r="B5" s="74" t="s">
        <v>61</v>
      </c>
      <c r="C5" s="73" t="s">
        <v>65</v>
      </c>
      <c r="D5" s="74"/>
      <c r="F5" s="117" t="s">
        <v>83</v>
      </c>
      <c r="G5" s="96">
        <f>F18/B31</f>
        <v>6.0116068948252548E-3</v>
      </c>
      <c r="J5" s="123">
        <v>0.1</v>
      </c>
      <c r="K5" s="95">
        <f xml:space="preserve"> (COMBUSTÃO!$K$18 * COMBUSTÃO!$C$14)
  + ( (100 * 2 * (1 + J5) - 200) * COMBUSTÃO!$M$11 )
  + ( (100 * 2 * (1 + J5) * (79 / 21)) * COMBUSTÃO!$M$12 )
  + (COMBUSTÃO!$L$13 * COMBUSTÃO!$M$13)
  + (COMBUSTÃO!$L$14 * COMBUSTÃO!$M$14)
  + (COMBUSTÃO!$L$15 * COMBUSTÃO!$M$15)
  - (COMBUSTÃO!$J$10 * COMBUSTÃO!$K$10)
  - ( (100 * 2 * (1 + J5)) * COMBUSTÃO!$K$11 )
  - ( (100 * 2 * (1 + J5) * (79 / 21)) * COMBUSTÃO!$K$12 )</f>
        <v>-205833.68252888677</v>
      </c>
    </row>
    <row r="6" spans="2:11" ht="18" thickTop="1" x14ac:dyDescent="0.25">
      <c r="B6" s="72" t="s">
        <v>63</v>
      </c>
      <c r="C6" s="72" t="s">
        <v>66</v>
      </c>
      <c r="F6" s="92" t="s">
        <v>84</v>
      </c>
      <c r="G6" s="96">
        <f>F19/B31</f>
        <v>8.4149181783600452E-2</v>
      </c>
      <c r="J6" s="123">
        <v>0.2</v>
      </c>
      <c r="K6" s="95">
        <f xml:space="preserve"> (COMBUSTÃO!$K$18 * COMBUSTÃO!$C$14)
  + ( (100 * 2 * (1 + J6) - 200) * COMBUSTÃO!$M$11 )
  + ( (100 * 2 * (1 + J6) * (79 / 21)) * COMBUSTÃO!$M$12 )
  + (COMBUSTÃO!$L$13 * COMBUSTÃO!$M$13)
  + (COMBUSTÃO!$L$14 * COMBUSTÃO!$M$14)
  + (COMBUSTÃO!$L$15 * COMBUSTÃO!$M$15)
  - (COMBUSTÃO!$J$10 * COMBUSTÃO!$K$10)
  - ( (100 * 2 * (1 + J6)) * COMBUSTÃO!$K$11 )
  - ( (100 * 2 * (1 + J6) * (79 / 21)) * COMBUSTÃO!$K$12 )</f>
        <v>-205053.46991580611</v>
      </c>
    </row>
    <row r="7" spans="2:11" ht="17.25" x14ac:dyDescent="0.25">
      <c r="B7" s="72" t="s">
        <v>64</v>
      </c>
      <c r="C7" s="72" t="s">
        <v>66</v>
      </c>
      <c r="F7" s="118" t="s">
        <v>85</v>
      </c>
      <c r="G7" s="96">
        <f>F20/B31</f>
        <v>7.5494598214084592E-3</v>
      </c>
      <c r="J7" s="123">
        <v>0.3</v>
      </c>
      <c r="K7" s="95">
        <f xml:space="preserve"> (COMBUSTÃO!$K$18 * COMBUSTÃO!$C$14)
  + ( (100 * 2 * (1 + J7) - 200) * COMBUSTÃO!$M$11 )
  + ( (100 * 2 * (1 + J7) * (79 / 21)) * COMBUSTÃO!$M$12 )
  + (COMBUSTÃO!$L$13 * COMBUSTÃO!$M$13)
  + (COMBUSTÃO!$L$14 * COMBUSTÃO!$M$14)
  + (COMBUSTÃO!$L$15 * COMBUSTÃO!$M$15)
  - (COMBUSTÃO!$J$10 * COMBUSTÃO!$K$10)
  - ( (100 * 2 * (1 + J7)) * COMBUSTÃO!$K$11 )
  - ( (100 * 2 * (1 + J7) * (79 / 21)) * COMBUSTÃO!$K$12 )</f>
        <v>-204273.25730272545</v>
      </c>
    </row>
    <row r="8" spans="2:11" ht="17.25" x14ac:dyDescent="0.25">
      <c r="B8" s="72" t="s">
        <v>67</v>
      </c>
      <c r="C8" s="72" t="s">
        <v>66</v>
      </c>
      <c r="F8" s="119" t="s">
        <v>86</v>
      </c>
      <c r="G8" s="96">
        <f>F21/B31</f>
        <v>1.6776577380907685E-2</v>
      </c>
      <c r="J8" s="123">
        <v>0.4</v>
      </c>
      <c r="K8" s="95">
        <f xml:space="preserve"> (COMBUSTÃO!$K$18 * COMBUSTÃO!$C$14)
  + ( (100 * 2 * (1 + J8) - 200) * COMBUSTÃO!$M$11 )
  + ( (100 * 2 * (1 + J8) * (79 / 21)) * COMBUSTÃO!$M$12 )
  + (COMBUSTÃO!$L$13 * COMBUSTÃO!$M$13)
  + (COMBUSTÃO!$L$14 * COMBUSTÃO!$M$14)
  + (COMBUSTÃO!$L$15 * COMBUSTÃO!$M$15)
  - (COMBUSTÃO!$J$10 * COMBUSTÃO!$K$10)
  - ( (100 * 2 * (1 + J8)) * COMBUSTÃO!$K$11 )
  - ( (100 * 2 * (1 + J8) * (79 / 21)) * COMBUSTÃO!$K$12 )</f>
        <v>-203493.04468964477</v>
      </c>
    </row>
    <row r="9" spans="2:11" ht="15" x14ac:dyDescent="0.25">
      <c r="B9" s="72" t="s">
        <v>68</v>
      </c>
      <c r="C9" s="72" t="s">
        <v>66</v>
      </c>
      <c r="F9" s="92" t="s">
        <v>39</v>
      </c>
      <c r="G9" s="96">
        <f>F22/B31</f>
        <v>8.3882886904538417E-4</v>
      </c>
      <c r="J9" s="123">
        <v>0.5</v>
      </c>
      <c r="K9" s="95">
        <f xml:space="preserve"> (COMBUSTÃO!$K$18 * COMBUSTÃO!$C$14)
  + ( (100 * 2 * (1 + J9) - 200) * COMBUSTÃO!$M$11 )
  + ( (100 * 2 * (1 + J9) * (79 / 21)) * COMBUSTÃO!$M$12 )
  + (COMBUSTÃO!$L$13 * COMBUSTÃO!$M$13)
  + (COMBUSTÃO!$L$14 * COMBUSTÃO!$M$14)
  + (COMBUSTÃO!$L$15 * COMBUSTÃO!$M$15)
  - (COMBUSTÃO!$J$10 * COMBUSTÃO!$K$10)
  - ( (100 * 2 * (1 + J9)) * COMBUSTÃO!$K$11 )
  - ( (100 * 2 * (1 + J9) * (79 / 21)) * COMBUSTÃO!$K$12 )</f>
        <v>-202712.83207656408</v>
      </c>
    </row>
    <row r="10" spans="2:11" ht="15" x14ac:dyDescent="0.25">
      <c r="B10" s="72" t="s">
        <v>70</v>
      </c>
      <c r="C10" s="72" t="s">
        <v>69</v>
      </c>
      <c r="F10" s="92" t="s">
        <v>87</v>
      </c>
      <c r="G10" s="79">
        <f>F17/B31</f>
        <v>9.3203207671709346E-4</v>
      </c>
      <c r="J10" s="123">
        <v>0.6</v>
      </c>
      <c r="K10" s="95">
        <f xml:space="preserve"> (COMBUSTÃO!$K$18 * COMBUSTÃO!$C$14)
  + ( (100 * 2 * (1 + J10) - 200) * COMBUSTÃO!$M$11 )
  + ( (100 * 2 * (1 + J10) * (79 / 21)) * COMBUSTÃO!$M$12 )
  + (COMBUSTÃO!$L$13 * COMBUSTÃO!$M$13)
  + (COMBUSTÃO!$L$14 * COMBUSTÃO!$M$14)
  + (COMBUSTÃO!$L$15 * COMBUSTÃO!$M$15)
  - (COMBUSTÃO!$J$10 * COMBUSTÃO!$K$10)
  - ( (100 * 2 * (1 + J10)) * COMBUSTÃO!$K$11 )
  - ( (100 * 2 * (1 + J10) * (79 / 21)) * COMBUSTÃO!$K$12 )</f>
        <v>-201932.61946348345</v>
      </c>
    </row>
    <row r="11" spans="2:11" ht="15" x14ac:dyDescent="0.25">
      <c r="B11" s="72" t="s">
        <v>71</v>
      </c>
      <c r="C11" s="72" t="s">
        <v>72</v>
      </c>
      <c r="F11" s="92"/>
      <c r="G11" s="79"/>
      <c r="J11" s="123">
        <v>0.7</v>
      </c>
      <c r="K11" s="95">
        <f xml:space="preserve"> (COMBUSTÃO!$K$18 * COMBUSTÃO!$C$14)
  + ( (100 * 2 * (1 + J11) - 200) * COMBUSTÃO!$M$11 )
  + ( (100 * 2 * (1 + J11) * (79 / 21)) * COMBUSTÃO!$M$12 )
  + (COMBUSTÃO!$L$13 * COMBUSTÃO!$M$13)
  + (COMBUSTÃO!$L$14 * COMBUSTÃO!$M$14)
  + (COMBUSTÃO!$L$15 * COMBUSTÃO!$M$15)
  - (COMBUSTÃO!$J$10 * COMBUSTÃO!$K$10)
  - ( (100 * 2 * (1 + J11)) * COMBUSTÃO!$K$11 )
  - ( (100 * 2 * (1 + J11) * (79 / 21)) * COMBUSTÃO!$K$12 )</f>
        <v>-201152.40685040277</v>
      </c>
    </row>
    <row r="12" spans="2:11" ht="15" x14ac:dyDescent="0.25">
      <c r="B12" s="72" t="s">
        <v>73</v>
      </c>
      <c r="C12" s="72" t="s">
        <v>74</v>
      </c>
      <c r="J12" s="123">
        <v>0.8</v>
      </c>
      <c r="K12" s="95">
        <f xml:space="preserve"> (COMBUSTÃO!$K$18 * COMBUSTÃO!$C$14)
  + ( (100 * 2 * (1 + J12) - 200) * COMBUSTÃO!$M$11 )
  + ( (100 * 2 * (1 + J12) * (79 / 21)) * COMBUSTÃO!$M$12 )
  + (COMBUSTÃO!$L$13 * COMBUSTÃO!$M$13)
  + (COMBUSTÃO!$L$14 * COMBUSTÃO!$M$14)
  + (COMBUSTÃO!$L$15 * COMBUSTÃO!$M$15)
  - (COMBUSTÃO!$J$10 * COMBUSTÃO!$K$10)
  - ( (100 * 2 * (1 + J12)) * COMBUSTÃO!$K$11 )
  - ( (100 * 2 * (1 + J12) * (79 / 21)) * COMBUSTÃO!$K$12 )</f>
        <v>-200372.19423732208</v>
      </c>
    </row>
    <row r="13" spans="2:11" ht="15" x14ac:dyDescent="0.25">
      <c r="B13" s="72" t="s">
        <v>76</v>
      </c>
      <c r="C13" s="72" t="s">
        <v>77</v>
      </c>
      <c r="J13" s="123">
        <v>0.9</v>
      </c>
      <c r="K13" s="95">
        <f xml:space="preserve"> (COMBUSTÃO!$K$18 * COMBUSTÃO!$C$14)
  + ( (100 * 2 * (1 + J13) - 200) * COMBUSTÃO!$M$11 )
  + ( (100 * 2 * (1 + J13) * (79 / 21)) * COMBUSTÃO!$M$12 )
  + (COMBUSTÃO!$L$13 * COMBUSTÃO!$M$13)
  + (COMBUSTÃO!$L$14 * COMBUSTÃO!$M$14)
  + (COMBUSTÃO!$L$15 * COMBUSTÃO!$M$15)
  - (COMBUSTÃO!$J$10 * COMBUSTÃO!$K$10)
  - ( (100 * 2 * (1 + J13)) * COMBUSTÃO!$K$11 )
  - ( (100 * 2 * (1 + J13) * (79 / 21)) * COMBUSTÃO!$K$12 )</f>
        <v>-199591.98162424142</v>
      </c>
    </row>
    <row r="14" spans="2:11" ht="15" x14ac:dyDescent="0.25">
      <c r="B14" s="72"/>
      <c r="C14" s="72"/>
      <c r="J14" s="123">
        <v>1</v>
      </c>
      <c r="K14" s="95">
        <f xml:space="preserve"> (COMBUSTÃO!$K$18 * COMBUSTÃO!$C$14)
  + ( (100 * 2 * (1 + J14) - 200) * COMBUSTÃO!$M$11 )
  + ( (100 * 2 * (1 + J14) * (79 / 21)) * COMBUSTÃO!$M$12 )
  + (COMBUSTÃO!$L$13 * COMBUSTÃO!$M$13)
  + (COMBUSTÃO!$L$14 * COMBUSTÃO!$M$14)
  + (COMBUSTÃO!$L$15 * COMBUSTÃO!$M$15)
  - (COMBUSTÃO!$J$10 * COMBUSTÃO!$K$10)
  - ( (100 * 2 * (1 + J14)) * COMBUSTÃO!$K$11 )
  - ( (100 * 2 * (1 + J14) * (79 / 21)) * COMBUSTÃO!$K$12 )</f>
        <v>-198811.76901116077</v>
      </c>
    </row>
    <row r="15" spans="2:11" x14ac:dyDescent="0.2">
      <c r="J15" s="123">
        <v>1.1000000000000001</v>
      </c>
      <c r="K15" s="95">
        <f xml:space="preserve"> (COMBUSTÃO!$K$18 * COMBUSTÃO!$C$14)
  + ( (100 * 2 * (1 + J15) - 200) * COMBUSTÃO!$M$11 )
  + ( (100 * 2 * (1 + J15) * (79 / 21)) * COMBUSTÃO!$M$12 )
  + (COMBUSTÃO!$L$13 * COMBUSTÃO!$M$13)
  + (COMBUSTÃO!$L$14 * COMBUSTÃO!$M$14)
  + (COMBUSTÃO!$L$15 * COMBUSTÃO!$M$15)
  - (COMBUSTÃO!$J$10 * COMBUSTÃO!$K$10)
  - ( (100 * 2 * (1 + J15)) * COMBUSTÃO!$K$11 )
  - ( (100 * 2 * (1 + J15) * (79 / 21)) * COMBUSTÃO!$K$12 )</f>
        <v>-198031.55639808008</v>
      </c>
    </row>
    <row r="16" spans="2:11" x14ac:dyDescent="0.2">
      <c r="E16" s="187" t="s">
        <v>81</v>
      </c>
      <c r="F16" s="188"/>
      <c r="J16" s="123">
        <v>1.2</v>
      </c>
      <c r="K16" s="95">
        <f xml:space="preserve"> (COMBUSTÃO!$K$18 * COMBUSTÃO!$C$14)
  + ( (100 * 2 * (1 + J16) - 200) * COMBUSTÃO!$M$11 )
  + ( (100 * 2 * (1 + J16) * (79 / 21)) * COMBUSTÃO!$M$12 )
  + (COMBUSTÃO!$L$13 * COMBUSTÃO!$M$13)
  + (COMBUSTÃO!$L$14 * COMBUSTÃO!$M$14)
  + (COMBUSTÃO!$L$15 * COMBUSTÃO!$M$15)
  - (COMBUSTÃO!$J$10 * COMBUSTÃO!$K$10)
  - ( (100 * 2 * (1 + J16)) * COMBUSTÃO!$K$11 )
  - ( (100 * 2 * (1 + J16) * (79 / 21)) * COMBUSTÃO!$K$12 )</f>
        <v>-197251.34378499942</v>
      </c>
    </row>
    <row r="17" spans="1:11" x14ac:dyDescent="0.2">
      <c r="E17" s="92" t="s">
        <v>87</v>
      </c>
      <c r="F17" s="95">
        <f>COMBUSTÃO!L10</f>
        <v>15.659999999999997</v>
      </c>
      <c r="G17" s="79" t="str">
        <f t="shared" ref="G17:G22" si="0">E17 &amp; " (" &amp; TEXT(F17, "#") &amp; " mol/s)"</f>
        <v>Combustível (16 mol/s)</v>
      </c>
      <c r="J17" s="123">
        <v>1.3</v>
      </c>
      <c r="K17" s="95">
        <f xml:space="preserve"> (COMBUSTÃO!$K$18 * COMBUSTÃO!$C$14)
  + ( (100 * 2 * (1 + J17) - 200) * COMBUSTÃO!$M$11 )
  + ( (100 * 2 * (1 + J17) * (79 / 21)) * COMBUSTÃO!$M$12 )
  + (COMBUSTÃO!$L$13 * COMBUSTÃO!$M$13)
  + (COMBUSTÃO!$L$14 * COMBUSTÃO!$M$14)
  + (COMBUSTÃO!$L$15 * COMBUSTÃO!$M$15)
  - (COMBUSTÃO!$J$10 * COMBUSTÃO!$K$10)
  - ( (100 * 2 * (1 + J17)) * COMBUSTÃO!$K$11 )
  - ( (100 * 2 * (1 + J17) * (79 / 21)) * COMBUSTÃO!$K$12 )</f>
        <v>-196471.13117191877</v>
      </c>
    </row>
    <row r="18" spans="1:11" ht="17.25" x14ac:dyDescent="0.25">
      <c r="B18" s="72"/>
      <c r="D18" s="77"/>
      <c r="E18" s="117" t="s">
        <v>83</v>
      </c>
      <c r="F18" s="95">
        <f>COMBUSTÃO!L11</f>
        <v>101.00700000000001</v>
      </c>
      <c r="G18" s="79" t="str">
        <f t="shared" si="0"/>
        <v>O2 (101 mol/s)</v>
      </c>
      <c r="J18" s="123">
        <v>1.4</v>
      </c>
      <c r="K18" s="95">
        <f xml:space="preserve"> (COMBUSTÃO!$K$18 * COMBUSTÃO!$C$14)
  + ( (100 * 2 * (1 + J18) - 200) * COMBUSTÃO!$M$11 )
  + ( (100 * 2 * (1 + J18) * (79 / 21)) * COMBUSTÃO!$M$12 )
  + (COMBUSTÃO!$L$13 * COMBUSTÃO!$M$13)
  + (COMBUSTÃO!$L$14 * COMBUSTÃO!$M$14)
  + (COMBUSTÃO!$L$15 * COMBUSTÃO!$M$15)
  - (COMBUSTÃO!$J$10 * COMBUSTÃO!$K$10)
  - ( (100 * 2 * (1 + J18)) * COMBUSTÃO!$K$11 )
  - ( (100 * 2 * (1 + J18) * (79 / 21)) * COMBUSTÃO!$K$12 )</f>
        <v>-195690.91855883808</v>
      </c>
    </row>
    <row r="19" spans="1:11" ht="17.25" x14ac:dyDescent="0.25">
      <c r="A19" s="115" t="s">
        <v>80</v>
      </c>
      <c r="B19" s="94">
        <f>(COMBUSTÃO!N21)</f>
        <v>92285.563168346547</v>
      </c>
      <c r="C19" s="72"/>
      <c r="E19" s="92" t="s">
        <v>84</v>
      </c>
      <c r="F19" s="95">
        <f>COMBUSTÃO!L12</f>
        <v>1413.8742857142856</v>
      </c>
      <c r="G19" s="78" t="str">
        <f t="shared" si="0"/>
        <v>N2 (1414 mol/s)</v>
      </c>
      <c r="J19" s="123">
        <v>1.5</v>
      </c>
      <c r="K19" s="95">
        <f xml:space="preserve"> (COMBUSTÃO!$K$18 * COMBUSTÃO!$C$14)
  + ( (100 * 2 * (1 + J19) - 200) * COMBUSTÃO!$M$11 )
  + ( (100 * 2 * (1 + J19) * (79 / 21)) * COMBUSTÃO!$M$12 )
  + (COMBUSTÃO!$L$13 * COMBUSTÃO!$M$13)
  + (COMBUSTÃO!$L$14 * COMBUSTÃO!$M$14)
  + (COMBUSTÃO!$L$15 * COMBUSTÃO!$M$15)
  - (COMBUSTÃO!$J$10 * COMBUSTÃO!$K$10)
  - ( (100 * 2 * (1 + J19)) * COMBUSTÃO!$K$11 )
  - ( (100 * 2 * (1 + J19) * (79 / 21)) * COMBUSTÃO!$K$12 )</f>
        <v>-194910.70594575745</v>
      </c>
    </row>
    <row r="20" spans="1:11" ht="17.25" x14ac:dyDescent="0.25">
      <c r="A20" s="116" t="s">
        <v>63</v>
      </c>
      <c r="B20" s="97">
        <f>COMBUSTÃO!B25</f>
        <v>0.84597696720273641</v>
      </c>
      <c r="C20" s="72"/>
      <c r="E20" s="118" t="s">
        <v>85</v>
      </c>
      <c r="F20" s="95">
        <f>COMBUSTÃO!L13</f>
        <v>126.846</v>
      </c>
      <c r="G20" s="78" t="str">
        <f t="shared" si="0"/>
        <v>CO2 (127 mol/s)</v>
      </c>
    </row>
    <row r="21" spans="1:11" ht="17.25" x14ac:dyDescent="0.25">
      <c r="A21" s="116" t="s">
        <v>79</v>
      </c>
      <c r="B21" s="94">
        <f>(COMBUSTÃO!C8 * ABS(COMBUSTÃO!C14))</f>
        <v>134676.00000000003</v>
      </c>
      <c r="C21" s="72"/>
      <c r="E21" s="119" t="s">
        <v>86</v>
      </c>
      <c r="F21" s="95">
        <f>COMBUSTÃO!L14</f>
        <v>281.88</v>
      </c>
      <c r="G21" s="78" t="str">
        <f t="shared" si="0"/>
        <v>H2O (282 mol/s)</v>
      </c>
    </row>
    <row r="22" spans="1:11" x14ac:dyDescent="0.2">
      <c r="A22" s="116" t="s">
        <v>108</v>
      </c>
      <c r="B22" s="94">
        <f>COMBUSTÃO!G7</f>
        <v>1491.4285714285713</v>
      </c>
      <c r="E22" s="92" t="s">
        <v>39</v>
      </c>
      <c r="F22" s="95">
        <f>COMBUSTÃO!L15</f>
        <v>14.093999999999998</v>
      </c>
      <c r="G22" s="78" t="str">
        <f t="shared" si="0"/>
        <v>CO (14 mol/s)</v>
      </c>
    </row>
    <row r="23" spans="1:11" x14ac:dyDescent="0.2">
      <c r="A23" s="116" t="s">
        <v>109</v>
      </c>
      <c r="B23" s="94">
        <f>COMBUSTÃO!G12</f>
        <v>1789.7142857142856</v>
      </c>
    </row>
    <row r="24" spans="1:11" x14ac:dyDescent="0.2">
      <c r="A24" s="88"/>
      <c r="B24" s="88"/>
      <c r="E24" s="187" t="s">
        <v>82</v>
      </c>
      <c r="F24" s="188"/>
    </row>
    <row r="25" spans="1:11" x14ac:dyDescent="0.2">
      <c r="A25" s="187" t="s">
        <v>75</v>
      </c>
      <c r="B25" s="188"/>
      <c r="E25" s="92" t="s">
        <v>87</v>
      </c>
      <c r="F25" s="95">
        <f xml:space="preserve"> COMBUSTÃO!J10</f>
        <v>156.6</v>
      </c>
    </row>
    <row r="26" spans="1:11" ht="17.25" x14ac:dyDescent="0.2">
      <c r="A26" s="116" t="s">
        <v>88</v>
      </c>
      <c r="B26" s="94">
        <f>COMBUSTÃO!G14</f>
        <v>300</v>
      </c>
      <c r="E26" s="117" t="s">
        <v>83</v>
      </c>
      <c r="F26" s="95">
        <f>COMBUSTÃO!J11</f>
        <v>375.84</v>
      </c>
    </row>
    <row r="27" spans="1:11" ht="17.25" x14ac:dyDescent="0.2">
      <c r="A27" s="115" t="s">
        <v>80</v>
      </c>
      <c r="B27" s="94">
        <f>COMBUSTÃO!J21</f>
        <v>-79400.515168346552</v>
      </c>
      <c r="E27" s="92" t="s">
        <v>84</v>
      </c>
      <c r="F27" s="95">
        <f>COMBUSTÃO!J12</f>
        <v>1413.8742857142856</v>
      </c>
    </row>
    <row r="28" spans="1:11" x14ac:dyDescent="0.2">
      <c r="A28" s="88"/>
      <c r="B28" s="88"/>
    </row>
    <row r="29" spans="1:11" x14ac:dyDescent="0.2">
      <c r="A29" s="187" t="s">
        <v>93</v>
      </c>
      <c r="B29" s="188"/>
    </row>
    <row r="30" spans="1:11" x14ac:dyDescent="0.2">
      <c r="A30" s="116" t="s">
        <v>91</v>
      </c>
      <c r="B30" s="95">
        <f>COMBUSTÃO!N21</f>
        <v>92285.563168346547</v>
      </c>
    </row>
    <row r="31" spans="1:11" x14ac:dyDescent="0.2">
      <c r="A31" s="116" t="s">
        <v>92</v>
      </c>
      <c r="B31" s="95">
        <f>COMBUSTÃO!N23</f>
        <v>16801.996831653458</v>
      </c>
    </row>
    <row r="33" spans="1:2" x14ac:dyDescent="0.2">
      <c r="A33" s="115" t="s">
        <v>110</v>
      </c>
      <c r="B33" s="94">
        <f>COMBUSTÃO!J28</f>
        <v>0</v>
      </c>
    </row>
  </sheetData>
  <mergeCells count="7">
    <mergeCell ref="J2:K2"/>
    <mergeCell ref="A29:B29"/>
    <mergeCell ref="F3:G3"/>
    <mergeCell ref="F2:G2"/>
    <mergeCell ref="E16:F16"/>
    <mergeCell ref="E24:F24"/>
    <mergeCell ref="A25:B25"/>
  </mergeCells>
  <conditionalFormatting sqref="B33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0A2C9-7E47-45EA-9537-2C145370E8F1}">
  <sheetPr codeName="Planilha1"/>
  <dimension ref="A1:S35"/>
  <sheetViews>
    <sheetView showGridLines="0" showRowColHeaders="0" tabSelected="1" zoomScaleNormal="100" workbookViewId="0">
      <selection activeCell="A23" sqref="A23"/>
    </sheetView>
  </sheetViews>
  <sheetFormatPr defaultRowHeight="14.25" x14ac:dyDescent="0.2"/>
  <cols>
    <col min="1" max="1" width="9.375" customWidth="1"/>
  </cols>
  <sheetData>
    <row r="1" spans="1:19" ht="17.25" customHeight="1" x14ac:dyDescent="0.3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121"/>
      <c r="Q1" s="121"/>
      <c r="R1" s="121"/>
      <c r="S1" s="121"/>
    </row>
    <row r="2" spans="1:19" ht="15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121"/>
      <c r="Q2" s="121"/>
      <c r="R2" s="121"/>
      <c r="S2" s="121"/>
    </row>
    <row r="3" spans="1:19" ht="18.75" x14ac:dyDescent="0.3">
      <c r="A3" s="135"/>
      <c r="B3" s="136"/>
      <c r="C3" s="136"/>
      <c r="D3" s="136"/>
      <c r="E3" s="137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</row>
    <row r="4" spans="1:19" ht="21" thickBot="1" x14ac:dyDescent="0.35">
      <c r="A4" s="138" t="s">
        <v>118</v>
      </c>
      <c r="B4" s="139"/>
      <c r="C4" s="139"/>
      <c r="D4" s="139"/>
      <c r="E4" s="14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</row>
    <row r="5" spans="1:19" ht="24" thickBot="1" x14ac:dyDescent="0.4">
      <c r="A5" s="141"/>
      <c r="B5" s="142"/>
      <c r="C5" s="142"/>
      <c r="D5" s="142"/>
      <c r="E5" s="143"/>
      <c r="F5" s="80"/>
      <c r="G5" s="89">
        <f>Dados_Dashboard!B22</f>
        <v>1491.4285714285713</v>
      </c>
      <c r="H5" s="87"/>
      <c r="I5" s="87"/>
      <c r="J5" s="80"/>
      <c r="K5" s="89">
        <f>Dados_Dashboard!B23</f>
        <v>1789.7142857142856</v>
      </c>
      <c r="L5" s="87"/>
      <c r="M5" s="144">
        <f>Dados_Dashboard!B19</f>
        <v>92285.563168346547</v>
      </c>
      <c r="N5" s="144"/>
      <c r="O5" s="144"/>
      <c r="P5" s="87"/>
      <c r="Q5" s="132">
        <f>Dados_Dashboard!B20</f>
        <v>0.84597696720273641</v>
      </c>
      <c r="R5" s="133"/>
      <c r="S5" s="80"/>
    </row>
    <row r="6" spans="1:19" ht="21" thickBot="1" x14ac:dyDescent="0.35">
      <c r="A6" s="138">
        <v>90</v>
      </c>
      <c r="B6" s="139"/>
      <c r="C6" s="102"/>
      <c r="D6" s="151">
        <v>90</v>
      </c>
      <c r="E6" s="152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</row>
    <row r="7" spans="1:19" x14ac:dyDescent="0.2">
      <c r="A7" s="81"/>
      <c r="B7" s="82"/>
      <c r="C7" s="80"/>
      <c r="D7" s="80"/>
      <c r="E7" s="85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</row>
    <row r="8" spans="1:19" x14ac:dyDescent="0.2">
      <c r="A8" s="84"/>
      <c r="B8" s="80"/>
      <c r="C8" s="80"/>
      <c r="D8" s="80"/>
      <c r="E8" s="85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</row>
    <row r="9" spans="1:19" x14ac:dyDescent="0.2">
      <c r="A9" s="145"/>
      <c r="B9" s="146"/>
      <c r="C9" s="146"/>
      <c r="D9" s="146"/>
      <c r="E9" s="147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</row>
    <row r="10" spans="1:19" ht="21" thickBot="1" x14ac:dyDescent="0.35">
      <c r="A10" s="138">
        <v>174</v>
      </c>
      <c r="B10" s="139"/>
      <c r="C10" s="139"/>
      <c r="D10" s="139"/>
      <c r="E10" s="14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</row>
    <row r="11" spans="1:19" x14ac:dyDescent="0.2">
      <c r="A11" s="81"/>
      <c r="B11" s="82"/>
      <c r="C11" s="82"/>
      <c r="D11" s="82"/>
      <c r="E11" s="83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</row>
    <row r="12" spans="1:19" x14ac:dyDescent="0.2">
      <c r="A12" s="84"/>
      <c r="B12" s="80"/>
      <c r="C12" s="80"/>
      <c r="D12" s="80"/>
      <c r="E12" s="85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</row>
    <row r="13" spans="1:19" x14ac:dyDescent="0.2">
      <c r="A13" s="84"/>
      <c r="B13" s="80"/>
      <c r="C13" s="80"/>
      <c r="D13" s="80"/>
      <c r="E13" s="85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</row>
    <row r="14" spans="1:19" ht="19.5" thickBot="1" x14ac:dyDescent="0.35">
      <c r="A14" s="148">
        <v>25</v>
      </c>
      <c r="B14" s="149"/>
      <c r="C14" s="149"/>
      <c r="D14" s="149"/>
      <c r="E14" s="15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</row>
    <row r="15" spans="1:19" x14ac:dyDescent="0.2">
      <c r="A15" s="81"/>
      <c r="B15" s="82"/>
      <c r="C15" s="82"/>
      <c r="D15" s="82"/>
      <c r="E15" s="83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</row>
    <row r="16" spans="1:19" x14ac:dyDescent="0.2">
      <c r="A16" s="84"/>
      <c r="B16" s="80"/>
      <c r="C16" s="80"/>
      <c r="D16" s="80"/>
      <c r="E16" s="85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</row>
    <row r="17" spans="1:19" x14ac:dyDescent="0.2">
      <c r="A17" s="84"/>
      <c r="B17" s="80"/>
      <c r="C17" s="80"/>
      <c r="D17" s="80"/>
      <c r="E17" s="85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</row>
    <row r="18" spans="1:19" ht="19.5" thickBot="1" x14ac:dyDescent="0.35">
      <c r="A18" s="148">
        <v>25</v>
      </c>
      <c r="B18" s="149"/>
      <c r="C18" s="149"/>
      <c r="D18" s="149"/>
      <c r="E18" s="15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x14ac:dyDescent="0.2">
      <c r="A19" s="81"/>
      <c r="B19" s="82"/>
      <c r="C19" s="82"/>
      <c r="D19" s="82"/>
      <c r="E19" s="83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</row>
    <row r="20" spans="1:19" x14ac:dyDescent="0.2">
      <c r="A20" s="84"/>
      <c r="B20" s="80"/>
      <c r="C20" s="80"/>
      <c r="D20" s="80"/>
      <c r="E20" s="85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">
      <c r="A21" s="84"/>
      <c r="B21" s="80"/>
      <c r="C21" s="80"/>
      <c r="D21" s="80"/>
      <c r="E21" s="85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ht="19.5" thickBot="1" x14ac:dyDescent="0.35">
      <c r="A22" s="148">
        <v>300</v>
      </c>
      <c r="B22" s="149"/>
      <c r="C22" s="149"/>
      <c r="D22" s="149"/>
      <c r="E22" s="15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">
      <c r="A23" s="81"/>
      <c r="B23" s="82"/>
      <c r="C23" s="82"/>
      <c r="D23" s="82"/>
      <c r="E23" s="83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">
      <c r="A24" s="84"/>
      <c r="B24" s="80"/>
      <c r="C24" s="80"/>
      <c r="D24" s="80"/>
      <c r="E24" s="85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x14ac:dyDescent="0.2">
      <c r="A25" s="84"/>
      <c r="B25" s="80"/>
      <c r="C25" s="80"/>
      <c r="D25" s="80"/>
      <c r="E25" s="85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</row>
    <row r="26" spans="1:19" x14ac:dyDescent="0.2">
      <c r="A26" s="145"/>
      <c r="B26" s="146"/>
      <c r="C26" s="146"/>
      <c r="D26" s="146"/>
      <c r="E26" s="147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</row>
    <row r="27" spans="1:19" ht="19.5" thickBot="1" x14ac:dyDescent="0.35">
      <c r="A27" s="126">
        <v>20</v>
      </c>
      <c r="B27" s="127"/>
      <c r="C27" s="127"/>
      <c r="D27" s="127"/>
      <c r="E27" s="128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</row>
    <row r="28" spans="1:19" x14ac:dyDescent="0.2">
      <c r="A28" s="99"/>
      <c r="B28" s="100"/>
      <c r="C28" s="100"/>
      <c r="D28" s="100"/>
      <c r="E28" s="101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</row>
    <row r="29" spans="1:19" ht="18.75" x14ac:dyDescent="0.3">
      <c r="A29" s="126"/>
      <c r="B29" s="127"/>
      <c r="C29" s="127"/>
      <c r="D29" s="127"/>
      <c r="E29" s="128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</row>
    <row r="30" spans="1:19" ht="19.5" thickBot="1" x14ac:dyDescent="0.35">
      <c r="A30" s="129">
        <v>90</v>
      </c>
      <c r="B30" s="130"/>
      <c r="C30" s="130"/>
      <c r="D30" s="130"/>
      <c r="E30" s="131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</row>
    <row r="31" spans="1:19" ht="19.5" thickTop="1" x14ac:dyDescent="0.3">
      <c r="A31" s="134"/>
      <c r="B31" s="127"/>
      <c r="C31" s="127"/>
      <c r="D31" s="127"/>
      <c r="E31" s="127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</row>
    <row r="32" spans="1:19" x14ac:dyDescent="0.2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</row>
    <row r="33" spans="1:19" x14ac:dyDescent="0.2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</row>
    <row r="34" spans="1:19" x14ac:dyDescent="0.2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</row>
    <row r="35" spans="1:19" x14ac:dyDescent="0.2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</row>
  </sheetData>
  <sheetProtection formatCells="0" formatColumns="0" formatRows="0" insertColumns="0" insertRows="0" insertHyperlinks="0" deleteColumns="0" deleteRows="0" sort="0" autoFilter="0" pivotTables="0"/>
  <mergeCells count="17">
    <mergeCell ref="A3:E3"/>
    <mergeCell ref="A4:E4"/>
    <mergeCell ref="A5:E5"/>
    <mergeCell ref="M5:O5"/>
    <mergeCell ref="A26:E26"/>
    <mergeCell ref="A9:E9"/>
    <mergeCell ref="A10:E10"/>
    <mergeCell ref="A14:E14"/>
    <mergeCell ref="A18:E18"/>
    <mergeCell ref="A22:E22"/>
    <mergeCell ref="A6:B6"/>
    <mergeCell ref="D6:E6"/>
    <mergeCell ref="A29:E29"/>
    <mergeCell ref="A30:E30"/>
    <mergeCell ref="Q5:R5"/>
    <mergeCell ref="A31:E31"/>
    <mergeCell ref="A27:E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Spinner 9">
              <controlPr defaultSize="0" autoPict="0">
                <anchor moveWithCells="1" sizeWithCells="1">
                  <from>
                    <xdr:col>4</xdr:col>
                    <xdr:colOff>228600</xdr:colOff>
                    <xdr:row>6</xdr:row>
                    <xdr:rowOff>123825</xdr:rowOff>
                  </from>
                  <to>
                    <xdr:col>4</xdr:col>
                    <xdr:colOff>581025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4</xdr:col>
                    <xdr:colOff>257175</xdr:colOff>
                    <xdr:row>10</xdr:row>
                    <xdr:rowOff>123825</xdr:rowOff>
                  </from>
                  <to>
                    <xdr:col>4</xdr:col>
                    <xdr:colOff>590550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Spinner 11">
              <controlPr defaultSize="0" autoPict="0">
                <anchor moveWithCells="1" sizeWithCells="1">
                  <from>
                    <xdr:col>4</xdr:col>
                    <xdr:colOff>257175</xdr:colOff>
                    <xdr:row>14</xdr:row>
                    <xdr:rowOff>104775</xdr:rowOff>
                  </from>
                  <to>
                    <xdr:col>4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Spinner 12">
              <controlPr defaultSize="0" autoPict="0">
                <anchor moveWithCells="1" sizeWithCells="1">
                  <from>
                    <xdr:col>4</xdr:col>
                    <xdr:colOff>228600</xdr:colOff>
                    <xdr:row>18</xdr:row>
                    <xdr:rowOff>95250</xdr:rowOff>
                  </from>
                  <to>
                    <xdr:col>4</xdr:col>
                    <xdr:colOff>590550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Scroll Bar 23">
              <controlPr defaultSize="0" autoPict="0">
                <anchor moveWithCells="1">
                  <from>
                    <xdr:col>0</xdr:col>
                    <xdr:colOff>123825</xdr:colOff>
                    <xdr:row>24</xdr:row>
                    <xdr:rowOff>19050</xdr:rowOff>
                  </from>
                  <to>
                    <xdr:col>4</xdr:col>
                    <xdr:colOff>552450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9" name="Spinner 31">
              <controlPr defaultSize="0" autoPict="0">
                <anchor moveWithCells="1" siz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2</xdr:col>
                    <xdr:colOff>304800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Spinner 32">
              <controlPr defaultSize="0" autoPict="0">
                <anchor moveWithCells="1" sizeWithCells="1">
                  <from>
                    <xdr:col>2</xdr:col>
                    <xdr:colOff>371475</xdr:colOff>
                    <xdr:row>5</xdr:row>
                    <xdr:rowOff>38100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Spinner 39">
              <controlPr defaultSize="0" autoPict="0">
                <anchor moveWithCells="1" sizeWithCells="1">
                  <from>
                    <xdr:col>4</xdr:col>
                    <xdr:colOff>171450</xdr:colOff>
                    <xdr:row>27</xdr:row>
                    <xdr:rowOff>57150</xdr:rowOff>
                  </from>
                  <to>
                    <xdr:col>4</xdr:col>
                    <xdr:colOff>581025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63A20C-224E-4FBC-98A5-09729EC18A9E}">
          <x14:formula1>
            <xm:f>Dados_Dashboard!$H$4:$H$5</xm:f>
          </x14:formula1>
          <xm:sqref>S1:S2</xm:sqref>
        </x14:dataValidation>
        <x14:dataValidation type="list" allowBlank="1" showInputMessage="1" showErrorMessage="1" xr:uid="{0BCE9166-FA7D-4D28-AFAD-546F8EE77E13}">
          <x14:formula1>
            <xm:f>Dados!$A$3:$A$12</xm:f>
          </x14:formula1>
          <xm:sqref>A4:E4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COMBUSTÃO</vt:lpstr>
      <vt:lpstr>Dados</vt:lpstr>
      <vt:lpstr>Dados_Dashboard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Wagner</dc:creator>
  <cp:keywords/>
  <dc:description/>
  <cp:lastModifiedBy>Geovana Antonelly Santos Correia</cp:lastModifiedBy>
  <cp:revision/>
  <dcterms:created xsi:type="dcterms:W3CDTF">2023-04-22T17:40:32Z</dcterms:created>
  <dcterms:modified xsi:type="dcterms:W3CDTF">2026-08-03T08:45:31Z</dcterms:modified>
  <cp:category/>
  <cp:contentStatus/>
</cp:coreProperties>
</file>